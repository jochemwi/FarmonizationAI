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9c7902bf5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-mgmt" sheetId="1" r:id="R3754ce8dca934fb9"/>
    <x:sheet xmlns:r="http://schemas.openxmlformats.org/officeDocument/2006/relationships" name="Sheet2" sheetId="2" r:id="R9665f5b6463d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228d38f894184" /><Relationship Type="http://schemas.openxmlformats.org/officeDocument/2006/relationships/theme" Target="/xl/theme/theme1.xml" Id="Rb6e495ae88dd4f0f" /><Relationship Type="http://schemas.openxmlformats.org/officeDocument/2006/relationships/sharedStrings" Target="/xl/sharedStrings.xml" Id="R42d32f298bc54df1" /><Relationship Type="http://schemas.openxmlformats.org/officeDocument/2006/relationships/worksheet" Target="/xl/worksheets/sheet1.xml" Id="R3754ce8dca934fb9" /><Relationship Type="http://schemas.openxmlformats.org/officeDocument/2006/relationships/worksheet" Target="/xl/worksheets/sheet2.xml" Id="R9665f5b6463d44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1" t="str">
        <x:v>! Synthetic field experiment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 t="str">
        <x:v>! Definitions</x:v>
      </x:c>
      <x:c r="B18" s="1" t="str">
        <x:v>Plot identification</x:v>
      </x:c>
      <x:c r="C18" s="1"/>
      <x:c r="D18" s="1" t="str">
        <x:v>Soil identifier linking from SOIL_PROFILES for a single profile</x:v>
      </x:c>
      <x:c r="E18" s="1" t="str">
        <x:v>Field, identifier usually consisting of institution+site+4 digit number</x:v>
      </x:c>
      <x:c r="F18" s="1" t="str">
        <x:v>Plot area (gross) per rep</x:v>
      </x:c>
      <x:c r="G18" s="1" t="str">
        <x:v>Plot length (gross) for single plot or treatment</x:v>
      </x:c>
      <x:c r="H18" s="1" t="str">
        <x:v>Plot width (gross) for single plot or treatment</x:v>
      </x:c>
      <x:c r="I18" s="1" t="str">
        <x:v>Plot harvest area</x:v>
      </x:c>
      <x:c r="J18" s="1" t="str">
        <x:v>Field latitude</x:v>
      </x:c>
      <x:c r="K18" s="1" t="str">
        <x:v>Field longitude, E positive, W negative</x:v>
      </x:c>
      <x:c r="L18" s="1" t="str">
        <x:v>Field slope (from horizontal)</x:v>
      </x:c>
      <x:c r="M18" s="1" t="str">
        <x:v>Unique identifier for a treatment record</x:v>
      </x:c>
      <x:c r="N18" s="1" t="str">
        <x:v>Identifier of the genotype used in the treatment</x:v>
      </x:c>
      <x:c r="O18" s="1" t="str">
        <x:v>Identifier of the weather station associated with the treatment</x:v>
      </x:c>
      <x:c r="P18" s="1" t="str">
        <x:v>Identifier of the initial-conditions treatment</x:v>
      </x:c>
      <x:c r="Q18" s="1" t="str">
        <x:v>Identifier of the planting treatment</x:v>
      </x:c>
      <x:c r="R18" s="1" t="str">
        <x:v>Identifier of the irrigation treatment</x:v>
      </x:c>
      <x:c r="S18" s="1" t="str">
        <x:v>Identifier of the fertilization treatment</x:v>
      </x:c>
      <x:c r="T18" s="1" t="str">
        <x:v>Identifier of the automatic irrigation treatment</x:v>
      </x:c>
      <x:c r="U18" s="1" t="str">
        <x:v>Identifier of the organic material application treatment</x:v>
      </x:c>
      <x:c r="V18" s="1" t="str">
        <x:v>Identifier of the chemical application treatment</x:v>
      </x:c>
      <x:c r="W18" s="1" t="str">
        <x:v>Identifier of the tillage treatment</x:v>
      </x:c>
      <x:c r="X18" s="1" t="str">
        <x:v>Identifier of the environmental modification treatment</x:v>
      </x:c>
      <x:c r="Y18" s="1" t="str">
        <x:v>Identifier of the harvest treatment</x:v>
      </x:c>
      <x:c r="Z18" s="1" t="str">
        <x:v>Identifier of the mulch treatment</x:v>
      </x:c>
      <x:c r="AA18" s="1" t="str">
        <x:v>Crop (or weed) species identifier</x:v>
      </x:c>
      <x:c r="AB18" s="1" t="str">
        <x:v>Preferred genotype identifier, potentially a cultivar, breeding line, hybrid, clone, population, or other.</x:v>
      </x:c>
      <x:c r="AC18" s="1" t="str">
        <x:v>Repeated field identifier</x:v>
      </x:c>
    </x:row>
    <x:row r="19">
      <x:c r="A19" s="1" t="str">
        <x:v>! Units</x:v>
      </x:c>
      <x:c r="B19" s="1" t="str">
        <x:v>text</x:v>
      </x:c>
      <x:c r="C19" s="1"/>
      <x:c r="D19" s="1" t="str">
        <x:v>text</x:v>
      </x:c>
      <x:c r="E19" s="1" t="str">
        <x:v>text</x:v>
      </x:c>
      <x:c r="F19" s="1" t="str">
        <x:v>m2</x:v>
      </x:c>
      <x:c r="G19" s="1" t="str">
        <x:v>m</x:v>
      </x:c>
      <x:c r="H19" s="1" t="str">
        <x:v>m</x:v>
      </x:c>
      <x:c r="I19" s="1" t="str">
        <x:v>m2</x:v>
      </x:c>
      <x:c r="J19" s="1" t="str">
        <x:v>decimal_degrees</x:v>
      </x:c>
      <x:c r="K19" s="1" t="str">
        <x:v>decimal_degrees</x:v>
      </x:c>
      <x:c r="L19" s="1" t="str">
        <x:v>percent</x:v>
      </x:c>
      <x:c r="M19" s="1" t="str">
        <x:v>text</x:v>
      </x:c>
      <x:c r="N19" s="1" t="str">
        <x:v>text</x:v>
      </x:c>
      <x:c r="O19" s="1" t="str">
        <x:v>text</x:v>
      </x:c>
      <x:c r="P19" s="1" t="str">
        <x:v>text</x:v>
      </x:c>
      <x:c r="Q19" s="1" t="str">
        <x:v>text</x:v>
      </x:c>
      <x:c r="R19" s="1" t="str">
        <x:v>text</x:v>
      </x:c>
      <x:c r="S19" s="1" t="str">
        <x:v>text</x:v>
      </x:c>
      <x:c r="T19" s="1" t="str">
        <x:v>text</x:v>
      </x:c>
      <x:c r="U19" s="1" t="str">
        <x:v>text</x:v>
      </x:c>
      <x:c r="V19" s="1" t="str">
        <x:v>text</x:v>
      </x:c>
      <x:c r="W19" s="1" t="str">
        <x:v>text</x:v>
      </x:c>
      <x:c r="X19" s="1" t="str">
        <x:v>text</x:v>
      </x:c>
      <x:c r="Y19" s="1" t="str">
        <x:v>text</x:v>
      </x:c>
      <x:c r="Z19" s="1" t="str">
        <x:v>text</x:v>
      </x:c>
      <x:c r="AA19" s="1" t="str">
        <x:v>code</x:v>
      </x:c>
      <x:c r="AB19" s="1" t="str">
        <x:v>text</x:v>
      </x:c>
      <x:c r="AC19" s="1" t="str">
        <x:v>Repeated field identifier</x:v>
      </x:c>
    </x:row>
    <x:row r="20">
      <x:c r="A20" s="2" t="str">
        <x:v>#</x:v>
      </x:c>
      <x:c r="B20" s="2" t="str">
        <x:v>PLTID</x:v>
      </x:c>
      <x:c r="C20" s="2"/>
      <x:c r="D20" s="2" t="str">
        <x:v>SOIL_ID</x:v>
      </x:c>
      <x:c r="E20" s="2" t="str">
        <x:v>field_id</x:v>
      </x:c>
      <x:c r="F20" s="2" t="str">
        <x:v>PLTA</x:v>
      </x:c>
      <x:c r="G20" s="2" t="str">
        <x:v> PLTLN </x:v>
      </x:c>
      <x:c r="H20" s="2" t="str">
        <x:v>pltwi</x:v>
      </x:c>
      <x:c r="I20" s="2" t="str">
        <x:v>PLTHA</x:v>
      </x:c>
      <x:c r="J20" s="2" t="str">
        <x:v>FL_LAT</x:v>
      </x:c>
      <x:c r="K20" s="2" t="str">
        <x:v>fl_long</x:v>
      </x:c>
      <x:c r="L20" s="2" t="str">
        <x:v> FLSL </x:v>
      </x:c>
      <x:c r="M20" s="2" t="str">
        <x:v>TRTID</x:v>
      </x:c>
      <x:c r="N20" s="2" t="str">
        <x:v>genid</x:v>
      </x:c>
      <x:c r="O20" s="2" t="str">
        <x:v>WTHSTAID</x:v>
      </x:c>
      <x:c r="P20" s="2" t="str">
        <x:v>INITC_TR</x:v>
      </x:c>
      <x:c r="Q20" s="2" t="str">
        <x:v> plttr_tr </x:v>
      </x:c>
      <x:c r="R20" s="2" t="str">
        <x:v>IRRTR_TR</x:v>
      </x:c>
      <x:c r="S20" s="2" t="str">
        <x:v>FERTT_TR</x:v>
      </x:c>
      <x:c r="T20" s="2" t="str">
        <x:v>autoi_tr</x:v>
      </x:c>
      <x:c r="U20" s="2" t="str">
        <x:v>ORGMA_TR</x:v>
      </x:c>
      <x:c r="V20" s="2" t="str">
        <x:v> CHEMA_TR </x:v>
      </x:c>
      <x:c r="W20" s="2" t="str">
        <x:v>tiltr_tr</x:v>
      </x:c>
      <x:c r="X20" s="2" t="str">
        <x:v>ENVMO_TR</x:v>
      </x:c>
      <x:c r="Y20" s="2" t="str">
        <x:v>HARVT_TR</x:v>
      </x:c>
      <x:c r="Z20" s="2" t="str">
        <x:v>multr_tr</x:v>
      </x:c>
      <x:c r="AA20" s="2" t="str">
        <x:v> CRID </x:v>
      </x:c>
      <x:c r="AB20" s="2" t="str">
        <x:v>GENO_NAME</x:v>
      </x:c>
      <x:c r="AC20" s="2" t="str">
        <x:v>ID_FIELD</x:v>
      </x:c>
    </x:row>
    <x:row r="21">
      <x:c r="A21" s="1" t="n">
        <x:v>11</x:v>
      </x:c>
      <x:c r="B21" s="1" t="str">
        <x:v>S0112</x:v>
      </x:c>
      <x:c r="C21" s="1"/>
      <x:c r="D21" s="1" t="str">
        <x:v>SYNL000006</x:v>
      </x:c>
      <x:c r="E21" s="1" t="str">
        <x:v>S0156</x:v>
      </x:c>
      <x:c r="F21" s="1" t="n">
        <x:v>168</x:v>
      </x:c>
      <x:c r="G21" s="1" t="n">
        <x:v>28</x:v>
      </x:c>
      <x:c r="H21" s="1" t="n">
        <x:v>6</x:v>
      </x:c>
      <x:c r="I21" s="1" t="n">
        <x:v>104</x:v>
      </x:c>
      <x:c r="J21" s="1" t="n">
        <x:v>51.86</x:v>
      </x:c>
      <x:c r="K21" s="1" t="n">
        <x:v>5.59</x:v>
      </x:c>
      <x:c r="L21" s="1" t="n">
        <x:v>0.2</x:v>
      </x:c>
      <x:c r="M21" s="1" t="str">
        <x:v>S0142</x:v>
      </x:c>
      <x:c r="N21" s="1" t="str">
        <x:v>S0047</x:v>
      </x:c>
      <x:c r="O21" s="1" t="str">
        <x:v>SYN1</x:v>
      </x:c>
      <x:c r="P21" s="1" t="str">
        <x:v>S0077</x:v>
      </x:c>
      <x:c r="Q21" s="1" t="str">
        <x:v>S0101</x:v>
      </x:c>
      <x:c r="R21" s="1"/>
      <x:c r="S21" s="1" t="str">
        <x:v>S0039</x:v>
      </x:c>
      <x:c r="T21" s="1"/>
      <x:c r="U21" s="1" t="str">
        <x:v>UNKNOWN</x:v>
      </x:c>
      <x:c r="V21" s="1"/>
      <x:c r="W21" s="1"/>
      <x:c r="X21" s="1"/>
      <x:c r="Y21" s="1" t="str">
        <x:v>S0059</x:v>
      </x:c>
      <x:c r="Z21" s="1"/>
      <x:c r="AA21" s="1" t="str">
        <x:v>S0053</x:v>
      </x:c>
      <x:c r="AB21" s="1" t="str">
        <x:v>Synthetic_Sorghum_01</x:v>
      </x:c>
      <x:c r="AC21" s="1" t="str">
        <x:v>S0156</x:v>
      </x:c>
    </x:row>
    <x:row r="22">
      <x:c r="A22" s="1" t="n">
        <x:v>17</x:v>
      </x:c>
      <x:c r="B22" s="1" t="str">
        <x:v>S0113</x:v>
      </x:c>
      <x:c r="C22" s="1"/>
      <x:c r="D22" s="1" t="str">
        <x:v>SYNL000006</x:v>
      </x:c>
      <x:c r="E22" s="1" t="str">
        <x:v>S0156</x:v>
      </x:c>
      <x:c r="F22" s="1" t="n">
        <x:v>180</x:v>
      </x:c>
      <x:c r="G22" s="1" t="n">
        <x:v>30</x:v>
      </x:c>
      <x:c r="H22" s="1" t="n">
        <x:v>6</x:v>
      </x:c>
      <x:c r="I22" s="1"/>
      <x:c r="J22" s="1" t="n">
        <x:v>51.86</x:v>
      </x:c>
      <x:c r="K22" s="1" t="n">
        <x:v>5.59</x:v>
      </x:c>
      <x:c r="L22" s="1" t="n">
        <x:v>0.2</x:v>
      </x:c>
      <x:c r="M22" s="1" t="str">
        <x:v>S0143</x:v>
      </x:c>
      <x:c r="N22" s="1" t="str">
        <x:v>S0047</x:v>
      </x:c>
      <x:c r="O22" s="1" t="str">
        <x:v>SYN1</x:v>
      </x:c>
      <x:c r="P22" s="1" t="str">
        <x:v>S0077</x:v>
      </x:c>
      <x:c r="Q22" s="1" t="str">
        <x:v>S0101</x:v>
      </x:c>
      <x:c r="R22" s="1" t="str">
        <x:v>S0082</x:v>
      </x:c>
      <x:c r="S22" s="1" t="str">
        <x:v>S0038</x:v>
      </x:c>
      <x:c r="T22" s="1"/>
      <x:c r="U22" s="1"/>
      <x:c r="V22" s="1"/>
      <x:c r="W22" s="1"/>
      <x:c r="X22" s="1"/>
      <x:c r="Y22" s="1" t="str">
        <x:v>S0059</x:v>
      </x:c>
      <x:c r="Z22" s="1"/>
      <x:c r="AA22" s="1" t="str">
        <x:v>S0053</x:v>
      </x:c>
      <x:c r="AB22" s="1" t="str">
        <x:v>Synthetic_Sorghum_01</x:v>
      </x:c>
      <x:c r="AC22" s="1" t="str">
        <x:v>S0156</x:v>
      </x:c>
    </x:row>
    <x:row r="23">
      <x:c r="A23" s="1" t="n">
        <x:v>23</x:v>
      </x:c>
      <x:c r="B23" s="1" t="str">
        <x:v>S0114</x:v>
      </x:c>
      <x:c r="C23" s="1"/>
      <x:c r="D23" s="1" t="str">
        <x:v>SYNL000006</x:v>
      </x:c>
      <x:c r="E23" s="1" t="str">
        <x:v>S0156</x:v>
      </x:c>
      <x:c r="F23" s="1" t="n">
        <x:v>192</x:v>
      </x:c>
      <x:c r="G23" s="1" t="n">
        <x:v>32</x:v>
      </x:c>
      <x:c r="H23" s="1" t="n">
        <x:v>6</x:v>
      </x:c>
      <x:c r="I23" s="1" t="n">
        <x:v>120</x:v>
      </x:c>
      <x:c r="J23" s="1" t="n">
        <x:v>51.86</x:v>
      </x:c>
      <x:c r="K23" s="1" t="n">
        <x:v>5.59</x:v>
      </x:c>
      <x:c r="L23" s="1" t="n">
        <x:v>0.2</x:v>
      </x:c>
      <x:c r="M23" s="1" t="str">
        <x:v>S0144</x:v>
      </x:c>
      <x:c r="N23" s="1" t="str">
        <x:v>S0047</x:v>
      </x:c>
      <x:c r="O23" s="1" t="str">
        <x:v>SYN1</x:v>
      </x:c>
      <x:c r="P23" s="1" t="str">
        <x:v>S0077</x:v>
      </x:c>
      <x:c r="Q23" s="1" t="str">
        <x:v>S0101</x:v>
      </x:c>
      <x:c r="R23" s="1" t="str">
        <x:v>S0082</x:v>
      </x:c>
      <x:c r="S23" s="1" t="str">
        <x:v>S0039</x:v>
      </x:c>
      <x:c r="T23" s="1" t="str">
        <x:v>S0011</x:v>
      </x:c>
      <x:c r="U23" s="1" t="str">
        <x:v>S0095</x:v>
      </x:c>
      <x:c r="V23" s="1" t="str">
        <x:v>S0017</x:v>
      </x:c>
      <x:c r="W23" s="1" t="str">
        <x:v>S0161</x:v>
      </x:c>
      <x:c r="X23" s="1" t="str">
        <x:v>S0023</x:v>
      </x:c>
      <x:c r="Y23" s="1" t="str">
        <x:v>S0059</x:v>
      </x:c>
      <x:c r="Z23" s="1" t="str">
        <x:v>S0089</x:v>
      </x:c>
      <x:c r="AA23" s="1" t="str">
        <x:v>S0053</x:v>
      </x:c>
      <x:c r="AB23" s="1" t="str">
        <x:v>Synthetic_Sorghum_01</x:v>
      </x:c>
      <x:c r="AC23" s="1" t="str">
        <x:v>S0156</x:v>
      </x:c>
    </x:row>
    <x:row r="24">
      <x:c r="A24" s="1" t="n">
        <x:v>29</x:v>
      </x:c>
      <x:c r="B24" s="1" t="str">
        <x:v>S0112</x:v>
      </x:c>
      <x:c r="C24" s="1"/>
      <x:c r="D24" s="1" t="str">
        <x:v>SYNL000006</x:v>
      </x:c>
      <x:c r="E24" s="1" t="str">
        <x:v>S0156</x:v>
      </x:c>
      <x:c r="F24" s="1" t="n">
        <x:v>168</x:v>
      </x:c>
      <x:c r="G24" s="1" t="n">
        <x:v>28</x:v>
      </x:c>
      <x:c r="H24" s="1" t="n">
        <x:v>6</x:v>
      </x:c>
      <x:c r="I24" s="1" t="n">
        <x:v>104</x:v>
      </x:c>
      <x:c r="J24" s="1" t="n">
        <x:v>51.86</x:v>
      </x:c>
      <x:c r="K24" s="1" t="n">
        <x:v>5.59</x:v>
      </x:c>
      <x:c r="L24" s="1" t="n">
        <x:v>0.2</x:v>
      </x:c>
      <x:c r="M24" s="1" t="str">
        <x:v>S0148</x:v>
      </x:c>
      <x:c r="N24" s="1" t="str">
        <x:v>S0048</x:v>
      </x:c>
      <x:c r="O24" s="1" t="str">
        <x:v>SYN1</x:v>
      </x:c>
      <x:c r="P24" s="1" t="str">
        <x:v>S0078</x:v>
      </x:c>
      <x:c r="Q24" s="1" t="str">
        <x:v>S0102</x:v>
      </x:c>
      <x:c r="R24" s="1"/>
      <x:c r="S24" s="1" t="str">
        <x:v>S0042</x:v>
      </x:c>
      <x:c r="T24" s="1"/>
      <x:c r="U24" s="1"/>
      <x:c r="V24" s="1"/>
      <x:c r="W24" s="1" t="str">
        <x:v>UNKNOWN</x:v>
      </x:c>
      <x:c r="X24" s="1"/>
      <x:c r="Y24" s="1" t="str">
        <x:v>S0060</x:v>
      </x:c>
      <x:c r="Z24" s="1"/>
      <x:c r="AA24" s="1" t="str">
        <x:v>S0054</x:v>
      </x:c>
      <x:c r="AB24" s="1" t="str">
        <x:v>Synthetic_Rice_01</x:v>
      </x:c>
      <x:c r="AC24" s="1" t="str">
        <x:v>S0156</x:v>
      </x:c>
    </x:row>
    <x:row r="25">
      <x:c r="A25" s="1" t="n">
        <x:v>35</x:v>
      </x:c>
      <x:c r="B25" s="1" t="str">
        <x:v>S0113</x:v>
      </x:c>
      <x:c r="C25" s="1"/>
      <x:c r="D25" s="1" t="str">
        <x:v>SYNL000006</x:v>
      </x:c>
      <x:c r="E25" s="1" t="str">
        <x:v>S0156</x:v>
      </x:c>
      <x:c r="F25" s="1" t="n">
        <x:v>180</x:v>
      </x:c>
      <x:c r="G25" s="1" t="n">
        <x:v>30</x:v>
      </x:c>
      <x:c r="H25" s="1" t="n">
        <x:v>6</x:v>
      </x:c>
      <x:c r="I25" s="1"/>
      <x:c r="J25" s="1" t="n">
        <x:v>51.86</x:v>
      </x:c>
      <x:c r="K25" s="1" t="n">
        <x:v>5.59</x:v>
      </x:c>
      <x:c r="L25" s="1" t="n">
        <x:v>0.2</x:v>
      </x:c>
      <x:c r="M25" s="1" t="str">
        <x:v>S0149</x:v>
      </x:c>
      <x:c r="N25" s="1" t="str">
        <x:v>S0048</x:v>
      </x:c>
      <x:c r="O25" s="1" t="str">
        <x:v>SYN1</x:v>
      </x:c>
      <x:c r="P25" s="1" t="str">
        <x:v>S0078</x:v>
      </x:c>
      <x:c r="Q25" s="1" t="str">
        <x:v>S0102</x:v>
      </x:c>
      <x:c r="R25" s="1" t="str">
        <x:v>S0083</x:v>
      </x:c>
      <x:c r="S25" s="1" t="str">
        <x:v>S0041</x:v>
      </x:c>
      <x:c r="T25" s="1"/>
      <x:c r="U25" s="1"/>
      <x:c r="V25" s="1"/>
      <x:c r="W25" s="1"/>
      <x:c r="X25" s="1"/>
      <x:c r="Y25" s="1" t="str">
        <x:v>S0060</x:v>
      </x:c>
      <x:c r="Z25" s="1"/>
      <x:c r="AA25" s="1" t="str">
        <x:v>S0054</x:v>
      </x:c>
      <x:c r="AB25" s="1" t="str">
        <x:v>Synthetic_Rice_01</x:v>
      </x:c>
      <x:c r="AC25" s="1" t="str">
        <x:v>S0156</x:v>
      </x:c>
    </x:row>
    <x:row r="26">
      <x:c r="A26" s="1" t="n">
        <x:v>41</x:v>
      </x:c>
      <x:c r="B26" s="1" t="str">
        <x:v>S0114</x:v>
      </x:c>
      <x:c r="C26" s="1"/>
      <x:c r="D26" s="1" t="str">
        <x:v>SYNL000006</x:v>
      </x:c>
      <x:c r="E26" s="1" t="str">
        <x:v>S0156</x:v>
      </x:c>
      <x:c r="F26" s="1" t="n">
        <x:v>192</x:v>
      </x:c>
      <x:c r="G26" s="1" t="n">
        <x:v>32</x:v>
      </x:c>
      <x:c r="H26" s="1" t="n">
        <x:v>6</x:v>
      </x:c>
      <x:c r="I26" s="1" t="n">
        <x:v>120</x:v>
      </x:c>
      <x:c r="J26" s="1" t="n">
        <x:v>51.86</x:v>
      </x:c>
      <x:c r="K26" s="1" t="n">
        <x:v>5.59</x:v>
      </x:c>
      <x:c r="L26" s="1" t="n">
        <x:v>0.2</x:v>
      </x:c>
      <x:c r="M26" s="1" t="str">
        <x:v>S0150</x:v>
      </x:c>
      <x:c r="N26" s="1" t="str">
        <x:v>S0048</x:v>
      </x:c>
      <x:c r="O26" s="1" t="str">
        <x:v>SYN1</x:v>
      </x:c>
      <x:c r="P26" s="1" t="str">
        <x:v>S0078</x:v>
      </x:c>
      <x:c r="Q26" s="1" t="str">
        <x:v>S0102</x:v>
      </x:c>
      <x:c r="R26" s="1" t="str">
        <x:v>S0083</x:v>
      </x:c>
      <x:c r="S26" s="1" t="str">
        <x:v>S0042</x:v>
      </x:c>
      <x:c r="T26" s="1" t="str">
        <x:v>S0012</x:v>
      </x:c>
      <x:c r="U26" s="1" t="str">
        <x:v>S0096</x:v>
      </x:c>
      <x:c r="V26" s="1" t="str">
        <x:v>S0018</x:v>
      </x:c>
      <x:c r="W26" s="1" t="str">
        <x:v>S0162</x:v>
      </x:c>
      <x:c r="X26" s="1" t="str">
        <x:v>S0024</x:v>
      </x:c>
      <x:c r="Y26" s="1" t="str">
        <x:v>S0060</x:v>
      </x:c>
      <x:c r="Z26" s="1" t="str">
        <x:v>S0090</x:v>
      </x:c>
      <x:c r="AA26" s="1" t="str">
        <x:v>S0054</x:v>
      </x:c>
      <x:c r="AB26" s="1" t="str">
        <x:v>Synthetic_Rice_01</x:v>
      </x:c>
      <x:c r="AC26" s="1" t="str">
        <x:v>S0156</x:v>
      </x:c>
    </x:row>
    <x:row r="27">
      <x:c r="A27" s="1" t="str">
        <x:v>! estimated</x:v>
      </x:c>
      <x:c r="B27" s="1" t="str">
        <x:v>Synthetic structural annotation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>
      <x:c r="A29" s="1" t="str">
        <x:v>! Section</x:v>
      </x:c>
      <x:c r="B29" s="1" t="str">
        <x:v>Auto_iIrrigation_events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>
      <x:c r="A30" s="1" t="str">
        <x:v>! Definitions</x:v>
      </x:c>
      <x:c r="B30" s="1" t="str">
        <x:v>Irrigation, ending % avail, automatic application</x:v>
      </x:c>
      <x:c r="C30" s="1"/>
      <x:c r="D30" s="1" t="str">
        <x:v>Irrigation threshold water content for automatic application</x:v>
      </x:c>
      <x:c r="E30" s="1" t="str">
        <x:v>Irrigation amount, automatic application</x:v>
      </x:c>
      <x:c r="F30" s="1" t="str">
        <x:v>Date when automatic irrigation ends; use YYYY-MM-DD.</x:v>
      </x:c>
      <x:c r="G30" s="1" t="str">
        <x:v>Identifier of the automatic irrigation treatment associated with the event</x:v>
      </x:c>
      <x:c r="H30" s="1" t="str">
        <x:v>Date to begin automatic irrigation; use YYYY-MM-DD.</x:v>
      </x:c>
      <x:c r="I30" s="1" t="str">
        <x:v>date helper</x:v>
      </x:c>
      <x:c r="J30" s="1" t="str">
        <x:v>date helper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>
      <x:c r="A31" s="1" t="str">
        <x:v>! Units</x:v>
      </x:c>
      <x:c r="B31" s="1" t="str">
        <x:v>%</x:v>
      </x:c>
      <x:c r="C31" s="1"/>
      <x:c r="D31" s="1" t="str">
        <x:v>%</x:v>
      </x:c>
      <x:c r="E31" s="1" t="str">
        <x:v>mm</x:v>
      </x:c>
      <x:c r="F31" s="1" t="str">
        <x:v>date</x:v>
      </x:c>
      <x:c r="G31" s="1" t="str">
        <x:v>text</x:v>
      </x:c>
      <x:c r="H31" s="1" t="str">
        <x:v>date</x:v>
      </x:c>
      <x:c r="I31" s="1" t="str">
        <x:v>date helper</x:v>
      </x:c>
      <x:c r="J31" s="1" t="str">
        <x:v>date helper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>
      <x:c r="A32" s="2" t="str">
        <x:v>%</x:v>
      </x:c>
      <x:c r="B32" s="2" t="str">
        <x:v>irept</x:v>
      </x:c>
      <x:c r="C32" s="2"/>
      <x:c r="D32" s="2" t="str">
        <x:v> IRTHR </x:v>
      </x:c>
      <x:c r="E32" s="2" t="str">
        <x:v>IAMT</x:v>
      </x:c>
      <x:c r="F32" s="2" t="str">
        <x:v>au_aie2</x:v>
      </x:c>
      <x:c r="G32" s="2" t="str">
        <x:v>AUTO_AIE</x:v>
      </x:c>
      <x:c r="H32" s="2" t="str">
        <x:v>IADATE</x:v>
      </x:c>
      <x:c r="I32" s="2" t="str">
        <x:v>!YEAR</x:v>
      </x:c>
      <x:c r="J32" s="2" t="str">
        <x:v>!DOY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</x:row>
    <x:row r="33">
      <x:c r="A33" s="1" t="n">
        <x:v>23</x:v>
      </x:c>
      <x:c r="B33" s="1"/>
      <x:c r="C33" s="1"/>
      <x:c r="D33" s="1"/>
      <x:c r="E33" s="1" t="n">
        <x:v>23</x:v>
      </x:c>
      <x:c r="F33" s="1" t="str">
        <x:v>2026-7-14</x:v>
      </x:c>
      <x:c r="G33" s="1" t="str">
        <x:v>S0011</x:v>
      </x:c>
      <x:c r="H33" s="1" t="str">
        <x:v> 2026-06-20</x:v>
      </x:c>
      <x:c r="I33" s="1" t="n">
        <x:f>YEAR(DATE(2026,6,20))</x:f>
        <x:v>2026</x:v>
      </x:c>
      <x:c r="J33" s="1" t="n">
        <x:f>DATE(2026,6,20)-DATE(2026,1,1)+1</x:f>
        <x:v>171</x:v>
      </x:c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>
      <x:c r="A34" s="1" t="n">
        <x:v>41</x:v>
      </x:c>
      <x:c r="B34" s="1"/>
      <x:c r="C34" s="1"/>
      <x:c r="D34" s="1"/>
      <x:c r="E34" s="1" t="n">
        <x:v>25</x:v>
      </x:c>
      <x:c r="F34" s="3" t="d">
        <x:v>2027-07-19T00:00:00.000Z</x:v>
      </x:c>
      <x:c r="G34" s="1" t="str">
        <x:v>S0012</x:v>
      </x:c>
      <x:c r="H34" s="1" t="str">
        <x:v>27173</x:v>
      </x:c>
      <x:c r="I34" s="1" t="n">
        <x:f>YEAR(DATE(2027,6,22))</x:f>
        <x:v>2027</x:v>
      </x:c>
      <x:c r="J34" s="1" t="n">
        <x:f>DATE(2027,6,22)-DATE(2027,1,1)+1</x:f>
        <x:v>173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 t="str">
        <x:v>! Section</x:v>
      </x:c>
      <x:c r="B36" s="1" t="str">
        <x:v>Auto_iIrrigation_treatments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 t="str">
        <x:v>! Definitions</x:v>
      </x:c>
      <x:c r="B37" s="1" t="str">
        <x:v>Unique identifier for an automatic irrigation treatment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 t="str">
        <x:v>! Units</x:v>
      </x:c>
      <x:c r="B38" s="1" t="str">
        <x:v>text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2" t="str">
        <x:v>#</x:v>
      </x:c>
      <x:c r="B39" s="2" t="str">
        <x:v>AUTOIRRT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</x:row>
    <x:row r="40">
      <x:c r="A40" s="1" t="n">
        <x:v>23</x:v>
      </x:c>
      <x:c r="B40" s="1" t="str">
        <x:v>S0011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 t="n">
        <x:v>41</x:v>
      </x:c>
      <x:c r="B41" s="1" t="str">
        <x:v>S0012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 t="str">
        <x:v>! Section</x:v>
      </x:c>
      <x:c r="B43" s="1" t="str">
        <x:v>Chemical_application_event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 t="str">
        <x:v>! Definitions</x:v>
      </x:c>
      <x:c r="B44" s="1" t="str">
        <x:v>Chemicals application amount (active)</x:v>
      </x:c>
      <x:c r="C44" s="1"/>
      <x:c r="D44" s="1" t="str">
        <x:v>Chemicals application material</x:v>
      </x:c>
      <x:c r="E44" s="1" t="str">
        <x:v>Identifier of the chemical application treatment associated with the event</x:v>
      </x:c>
      <x:c r="F44" s="1" t="str">
        <x:v>Chemicals application date; use YYYY-MM-DD.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 t="str">
        <x:v>! Units</x:v>
      </x:c>
      <x:c r="B45" s="1" t="str">
        <x:v>kg/ha</x:v>
      </x:c>
      <x:c r="C45" s="1"/>
      <x:c r="D45" s="1" t="str">
        <x:v>code</x:v>
      </x:c>
      <x:c r="E45" s="1" t="str">
        <x:v>text</x:v>
      </x:c>
      <x:c r="F45" s="1" t="str">
        <x:v>date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2" t="str">
        <x:v>%</x:v>
      </x:c>
      <x:c r="B46" s="2" t="str">
        <x:v>CHAMT</x:v>
      </x:c>
      <x:c r="C46" s="2"/>
      <x:c r="D46" s="2" t="str">
        <x:v>chcd</x:v>
      </x:c>
      <x:c r="E46" s="2" t="str">
        <x:v>CHEMA_CE</x:v>
      </x:c>
      <x:c r="F46" s="2" t="str">
        <x:v>CDATE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</x:row>
    <x:row r="47">
      <x:c r="A47" s="1" t="n">
        <x:v>23</x:v>
      </x:c>
      <x:c r="B47" s="1"/>
      <x:c r="C47" s="1"/>
      <x:c r="D47" s="1" t="str">
        <x:v>CH201</x:v>
      </x:c>
      <x:c r="E47" s="1" t="str">
        <x:v>S0017</x:v>
      </x:c>
      <x:c r="F47" s="1" t="str">
        <x:v> 2026-06-02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>
      <x:c r="A48" s="1" t="n">
        <x:v>41</x:v>
      </x:c>
      <x:c r="B48" s="1"/>
      <x:c r="C48" s="1"/>
      <x:c r="D48" s="1" t="str">
        <x:v>CH101</x:v>
      </x:c>
      <x:c r="E48" s="1" t="str">
        <x:v>S0018</x:v>
      </x:c>
      <x:c r="F48" s="1" t="str">
        <x:v>2027-6-17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 t="str">
        <x:v>! Section</x:v>
      </x:c>
      <x:c r="B50" s="1" t="str">
        <x:v>Chemical_application_treatments</x:v>
      </x:c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 t="str">
        <x:v>! Definitions</x:v>
      </x:c>
      <x:c r="B51" s="1" t="str">
        <x:v>Unique identifier for a chemical application treatment</x:v>
      </x:c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 t="str">
        <x:v>! Units</x:v>
      </x:c>
      <x:c r="B52" s="1" t="str">
        <x:v>text</x:v>
      </x:c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2" t="str">
        <x:v>#</x:v>
      </x:c>
      <x:c r="B53" s="2" t="str">
        <x:v>CHEMAPPT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</x:row>
    <x:row r="54">
      <x:c r="A54" s="1" t="n">
        <x:v>23</x:v>
      </x:c>
      <x:c r="B54" s="1" t="str">
        <x:v>S0017</x:v>
      </x:c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 t="n">
        <x:v>41</x:v>
      </x:c>
      <x:c r="B55" s="1" t="str">
        <x:v>S0018</x:v>
      </x:c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 t="str">
        <x:v>! Section</x:v>
      </x:c>
      <x:c r="B57" s="1" t="str">
        <x:v>Crop_observations_summary</x:v>
      </x:c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 t="str">
        <x:v>! Definitions</x:v>
      </x:c>
      <x:c r="B58" s="1" t="str">
        <x:v>N fixed during season</x:v>
      </x:c>
      <x:c r="C58" s="1"/>
      <x:c r="D58" s="1" t="str">
        <x:v>Phosphorus in above ground plant parts at maturity</x:v>
      </x:c>
      <x:c r="E58" s="1" t="str">
        <x:v>Grain N concentration at maturity</x:v>
      </x:c>
      <x:c r="F58" s="1" t="str">
        <x:v>Harvest index at maturity</x:v>
      </x:c>
      <x:c r="G58" s="1" t="str">
        <x:v>Tiller number per area at maturity</x:v>
      </x:c>
      <x:c r="H58" s="1" t="str">
        <x:v>Panicle number per area at maturity</x:v>
      </x:c>
      <x:c r="I58" s="1" t="str">
        <x:v>Pod, ear, panicle number per area at maturity</x:v>
      </x:c>
      <x:c r="J58" s="1" t="str">
        <x:v>Plant height (e.g., including spikes above canopy per se), maximum value in season</x:v>
      </x:c>
      <x:c r="K58" s="1" t="str">
        <x:v>Grain dry wt at maturity</x:v>
      </x:c>
      <x:c r="L58" s="1" t="str">
        <x:v>Tops dry weight at anthesis</x:v>
      </x:c>
      <x:c r="M58" s="1" t="str">
        <x:v>Grain starch concentration at maturity</x:v>
      </x:c>
      <x:c r="N58" s="1" t="str">
        <x:v>Grain protein concentration at maturity</x:v>
      </x:c>
      <x:c r="O58" s="1" t="str">
        <x:v>Grain oil concentration at maturity</x:v>
      </x:c>
      <x:c r="P58" s="1" t="str">
        <x:v>Leaf area index, maximum</x:v>
      </x:c>
      <x:c r="Q58" s="1" t="str">
        <x:v>Tops dry weight at harvest</x:v>
      </x:c>
      <x:c r="R58" s="1" t="str">
        <x:v>Growth stage, silking date; use YYYY-MM-DD.</x:v>
      </x:c>
      <x:c r="S58" s="1" t="str">
        <x:v>Growth stage date, harvest; use YYYY-MM-DD.</x:v>
      </x:c>
      <x:c r="T58" s="1" t="str">
        <x:v>Growth stage of physiol. maturity, as date; use YYYY-MM-DD.</x:v>
      </x:c>
      <x:c r="U58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V58" s="1" t="str">
        <x:v>Growth stage date, anthesis; use YYYY-MM-DD.</x:v>
      </x:c>
      <x:c r="W58" s="1"/>
      <x:c r="X58" s="1"/>
      <x:c r="Y58" s="1"/>
      <x:c r="Z58" s="1"/>
      <x:c r="AA58" s="1"/>
      <x:c r="AB58" s="1"/>
      <x:c r="AC58" s="1"/>
    </x:row>
    <x:row r="59">
      <x:c r="A59" s="1" t="str">
        <x:v>! Units</x:v>
      </x:c>
      <x:c r="B59" s="1" t="str">
        <x:v>kg/ha</x:v>
      </x:c>
      <x:c r="C59" s="1"/>
      <x:c r="D59" s="1" t="str">
        <x:v>kg/ha</x:v>
      </x:c>
      <x:c r="E59" s="1" t="str">
        <x:v>%</x:v>
      </x:c>
      <x:c r="F59" s="1" t="str">
        <x:v>unitless</x:v>
      </x:c>
      <x:c r="G59" s="1" t="str">
        <x:v>number/m2</x:v>
      </x:c>
      <x:c r="H59" s="1" t="str">
        <x:v>number/m2</x:v>
      </x:c>
      <x:c r="I59" s="1" t="str">
        <x:v>number/m2</x:v>
      </x:c>
      <x:c r="J59" s="1" t="str">
        <x:v>m</x:v>
      </x:c>
      <x:c r="K59" s="1" t="str">
        <x:v>kg/ha</x:v>
      </x:c>
      <x:c r="L59" s="1" t="str">
        <x:v>kg/ha</x:v>
      </x:c>
      <x:c r="M59" s="1" t="str">
        <x:v>%</x:v>
      </x:c>
      <x:c r="N59" s="1" t="str">
        <x:v>%</x:v>
      </x:c>
      <x:c r="O59" s="1" t="str">
        <x:v>%</x:v>
      </x:c>
      <x:c r="P59" s="1" t="str">
        <x:v>m2/m2</x:v>
      </x:c>
      <x:c r="Q59" s="1" t="str">
        <x:v>kg/ha</x:v>
      </x:c>
      <x:c r="R59" s="1" t="str">
        <x:v>date</x:v>
      </x:c>
      <x:c r="S59" s="1" t="str">
        <x:v>date</x:v>
      </x:c>
      <x:c r="T59" s="1" t="str">
        <x:v>date</x:v>
      </x:c>
      <x:c r="U59" s="1" t="str">
        <x:v>text</x:v>
      </x:c>
      <x:c r="V59" s="1" t="str">
        <x:v>date</x:v>
      </x:c>
      <x:c r="W59" s="1"/>
      <x:c r="X59" s="1"/>
      <x:c r="Y59" s="1"/>
      <x:c r="Z59" s="1"/>
      <x:c r="AA59" s="1"/>
      <x:c r="AB59" s="1"/>
      <x:c r="AC59" s="1"/>
    </x:row>
    <x:row r="60">
      <x:c r="A60" s="2" t="str">
        <x:v>%</x:v>
      </x:c>
      <x:c r="B60" s="2" t="str">
        <x:v> NFXM </x:v>
      </x:c>
      <x:c r="C60" s="2"/>
      <x:c r="D60" s="2" t="str">
        <x:v>CPAM</x:v>
      </x:c>
      <x:c r="E60" s="2" t="str">
        <x:v>gn%m</x:v>
      </x:c>
      <x:c r="F60" s="2" t="str">
        <x:v>HIAM</x:v>
      </x:c>
      <x:c r="G60" s="2" t="str">
        <x:v>T#AM</x:v>
      </x:c>
      <x:c r="H60" s="2" t="str">
        <x:v> pn#am </x:v>
      </x:c>
      <x:c r="I60" s="2" t="str">
        <x:v>PD#AM</x:v>
      </x:c>
      <x:c r="J60" s="2" t="str">
        <x:v>PHTX</x:v>
      </x:c>
      <x:c r="K60" s="2" t="str">
        <x:v>gwam</x:v>
      </x:c>
      <x:c r="L60" s="2" t="str">
        <x:v>CWAA</x:v>
      </x:c>
      <x:c r="M60" s="2" t="str">
        <x:v> GS%M </x:v>
      </x:c>
      <x:c r="N60" s="2" t="str">
        <x:v>gpr%m</x:v>
      </x:c>
      <x:c r="O60" s="2" t="str">
        <x:v>GL%M</x:v>
      </x:c>
      <x:c r="P60" s="2" t="str">
        <x:v>LAIX</x:v>
      </x:c>
      <x:c r="Q60" s="2" t="str">
        <x:v>cwah</x:v>
      </x:c>
      <x:c r="R60" s="2" t="str">
        <x:v> SKDAT </x:v>
      </x:c>
      <x:c r="S60" s="2" t="str">
        <x:v>HDATE</x:v>
      </x:c>
      <x:c r="T60" s="2" t="str">
        <x:v>mdat</x:v>
      </x:c>
      <x:c r="U60" s="2" t="str">
        <x:v>GRPPL_CO</x:v>
      </x:c>
      <x:c r="V60" s="2" t="str">
        <x:v>ADAT</x:v>
      </x:c>
      <x:c r="W60" s="2"/>
      <x:c r="X60" s="2"/>
      <x:c r="Y60" s="2"/>
      <x:c r="Z60" s="2"/>
      <x:c r="AA60" s="2"/>
      <x:c r="AB60" s="2"/>
      <x:c r="AC60" s="2"/>
    </x:row>
    <x:row r="61">
      <x:c r="A61" s="1" t="n">
        <x:v>11</x:v>
      </x:c>
      <x:c r="B61" s="1"/>
      <x:c r="C61" s="1"/>
      <x:c r="D61" s="1" t="n">
        <x:v>27.56</x:v>
      </x:c>
      <x:c r="E61" s="1"/>
      <x:c r="F61" s="1" t="n">
        <x:v>0.4</x:v>
      </x:c>
      <x:c r="G61" s="1" t="str">
        <x:v>-99.0</x:v>
      </x:c>
      <x:c r="H61" s="1" t="n">
        <x:v>19</x:v>
      </x:c>
      <x:c r="I61" s="1" t="str">
        <x:v>-99</x:v>
      </x:c>
      <x:c r="J61" s="1" t="str">
        <x:v>-99</x:v>
      </x:c>
      <x:c r="K61" s="1" t="n">
        <x:v>13780</x:v>
      </x:c>
      <x:c r="L61" s="1" t="n">
        <x:v>6740</x:v>
      </x:c>
      <x:c r="M61" s="1"/>
      <x:c r="N61" s="1"/>
      <x:c r="O61" s="1"/>
      <x:c r="P61" s="1" t="n">
        <x:v>4.88</x:v>
      </x:c>
      <x:c r="Q61" s="1" t="n">
        <x:v>5512</x:v>
      </x:c>
      <x:c r="R61" s="1"/>
      <x:c r="S61" s="1" t="str">
        <x:v> 2026-09-02</x:v>
      </x:c>
      <x:c r="T61" s="3" t="d">
        <x:v>2026-08-23T00:00:00.000Z</x:v>
      </x:c>
      <x:c r="U61" s="1" t="str">
        <x:v>11</x:v>
      </x:c>
      <x:c r="V61" s="1" t="str">
        <x:v>26201</x:v>
      </x:c>
      <x:c r="W61" s="1"/>
      <x:c r="X61" s="1"/>
      <x:c r="Y61" s="1"/>
      <x:c r="Z61" s="1"/>
      <x:c r="AA61" s="1"/>
      <x:c r="AB61" s="1"/>
      <x:c r="AC61" s="1"/>
    </x:row>
    <x:row r="62">
      <x:c r="A62" s="1" t="n">
        <x:v>29</x:v>
      </x:c>
      <x:c r="B62" s="1"/>
      <x:c r="C62" s="1"/>
      <x:c r="D62" s="1"/>
      <x:c r="E62" s="1" t="n">
        <x:v>1.9</x:v>
      </x:c>
      <x:c r="F62" s="1"/>
      <x:c r="G62" s="1"/>
      <x:c r="H62" s="1" t="n">
        <x:v>297</x:v>
      </x:c>
      <x:c r="I62" s="1"/>
      <x:c r="J62" s="1" t="n">
        <x:v>1.153</x:v>
      </x:c>
      <x:c r="K62" s="1" t="str">
        <x:v>-99</x:v>
      </x:c>
      <x:c r="L62" s="1"/>
      <x:c r="M62" s="1"/>
      <x:c r="N62" s="1"/>
      <x:c r="O62" s="1" t="str">
        <x:v>-99.0</x:v>
      </x:c>
      <x:c r="P62" s="1" t="n">
        <x:v>5.51</x:v>
      </x:c>
      <x:c r="Q62" s="1" t="n">
        <x:v>12720</x:v>
      </x:c>
      <x:c r="R62" s="1"/>
      <x:c r="S62" s="1" t="str">
        <x:v>2027-9-17</x:v>
      </x:c>
      <x:c r="T62" s="1"/>
      <x:c r="U62" s="1" t="str">
        <x:v>29</x:v>
      </x:c>
      <x:c r="V62" s="1"/>
      <x:c r="W62" s="1"/>
      <x:c r="X62" s="1"/>
      <x:c r="Y62" s="1"/>
      <x:c r="Z62" s="1"/>
      <x:c r="AA62" s="1"/>
      <x:c r="AB62" s="1"/>
      <x:c r="AC62" s="1"/>
    </x:row>
    <x:row r="63">
      <x:c r="A63" s="1" t="n">
        <x:v>17</x:v>
      </x:c>
      <x:c r="B63" s="1"/>
      <x:c r="C63" s="1"/>
      <x:c r="D63" s="1" t="n">
        <x:v>26.78</x:v>
      </x:c>
      <x:c r="E63" s="1" t="str">
        <x:v>-99.0</x:v>
      </x:c>
      <x:c r="F63" s="1" t="n">
        <x:v>0.4</x:v>
      </x:c>
      <x:c r="G63" s="1"/>
      <x:c r="H63" s="1" t="n">
        <x:v>19</x:v>
      </x:c>
      <x:c r="I63" s="1"/>
      <x:c r="J63" s="1"/>
      <x:c r="K63" s="1" t="n">
        <x:v>5356</x:v>
      </x:c>
      <x:c r="L63" s="1" t="n">
        <x:v>6549</x:v>
      </x:c>
      <x:c r="M63" s="1"/>
      <x:c r="N63" s="1"/>
      <x:c r="O63" s="1"/>
      <x:c r="P63" s="1" t="n">
        <x:v>4.74</x:v>
      </x:c>
      <x:c r="Q63" s="1"/>
      <x:c r="R63" s="1"/>
      <x:c r="S63" s="1"/>
      <x:c r="T63" s="3" t="d">
        <x:v>2026-08-23T00:00:00.000Z</x:v>
      </x:c>
      <x:c r="U63" s="1" t="str">
        <x:v>17</x:v>
      </x:c>
      <x:c r="V63" s="1" t="str">
        <x:v>26201</x:v>
      </x:c>
      <x:c r="W63" s="1"/>
      <x:c r="X63" s="1"/>
      <x:c r="Y63" s="1"/>
      <x:c r="Z63" s="1"/>
      <x:c r="AA63" s="1"/>
      <x:c r="AB63" s="1"/>
      <x:c r="AC63" s="1"/>
    </x:row>
    <x:row r="64">
      <x:c r="A64" s="1" t="n">
        <x:v>35</x:v>
      </x:c>
      <x:c r="B64" s="1"/>
      <x:c r="C64" s="1"/>
      <x:c r="D64" s="1"/>
      <x:c r="E64" s="1" t="n">
        <x:v>1.8</x:v>
      </x:c>
      <x:c r="F64" s="1"/>
      <x:c r="G64" s="1" t="str">
        <x:v>-99</x:v>
      </x:c>
      <x:c r="H64" s="1" t="n">
        <x:v>288</x:v>
      </x:c>
      <x:c r="I64" s="1"/>
      <x:c r="J64" s="1" t="n">
        <x:v>1.152</x:v>
      </x:c>
      <x:c r="K64" s="1" t="n">
        <x:v>5562</x:v>
      </x:c>
      <x:c r="L64" s="1"/>
      <x:c r="M64" s="1"/>
      <x:c r="N64" s="1"/>
      <x:c r="O64" s="1"/>
      <x:c r="P64" s="1" t="n">
        <x:v>5.36</x:v>
      </x:c>
      <x:c r="Q64" s="1" t="n">
        <x:v>12360</x:v>
      </x:c>
      <x:c r="R64" s="1"/>
      <x:c r="S64" s="1" t="str">
        <x:v>2027-9-17</x:v>
      </x:c>
      <x:c r="T64" s="1" t="str">
        <x:v> 2027-09-07</x:v>
      </x:c>
      <x:c r="U64" s="1" t="str">
        <x:v>35</x:v>
      </x:c>
      <x:c r="V64" s="1"/>
      <x:c r="W64" s="1"/>
      <x:c r="X64" s="1"/>
      <x:c r="Y64" s="1"/>
      <x:c r="Z64" s="1"/>
      <x:c r="AA64" s="1"/>
      <x:c r="AB64" s="1"/>
      <x:c r="AC64" s="1"/>
    </x:row>
    <x:row r="65">
      <x:c r="A65" s="1" t="n">
        <x:v>23</x:v>
      </x:c>
      <x:c r="B65" s="1"/>
      <x:c r="C65" s="1"/>
      <x:c r="D65" s="1" t="n">
        <x:v>24.96</x:v>
      </x:c>
      <x:c r="E65" s="1"/>
      <x:c r="F65" s="1" t="n">
        <x:v>0.4</x:v>
      </x:c>
      <x:c r="G65" s="1" t="str">
        <x:v>-99.0</x:v>
      </x:c>
      <x:c r="H65" s="1" t="n">
        <x:v>17</x:v>
      </x:c>
      <x:c r="I65" s="1"/>
      <x:c r="J65" s="1"/>
      <x:c r="K65" s="1"/>
      <x:c r="L65" s="1" t="n">
        <x:v>6104</x:v>
      </x:c>
      <x:c r="M65" s="1"/>
      <x:c r="N65" s="1"/>
      <x:c r="O65" s="1"/>
      <x:c r="P65" s="1" t="n">
        <x:v>4.42</x:v>
      </x:c>
      <x:c r="Q65" s="1" t="n">
        <x:v>12480</x:v>
      </x:c>
      <x:c r="R65" s="1"/>
      <x:c r="S65" s="3" t="d">
        <x:v>2026-09-02T00:00:00.000Z</x:v>
      </x:c>
      <x:c r="T65" s="1"/>
      <x:c r="U65" s="1" t="str">
        <x:v>23</x:v>
      </x:c>
      <x:c r="V65" s="1" t="str">
        <x:v>26201</x:v>
      </x:c>
      <x:c r="W65" s="1"/>
      <x:c r="X65" s="1"/>
      <x:c r="Y65" s="1"/>
      <x:c r="Z65" s="1"/>
      <x:c r="AA65" s="1"/>
      <x:c r="AB65" s="1"/>
      <x:c r="AC65" s="1"/>
    </x:row>
    <x:row r="66">
      <x:c r="A66" s="1" t="n">
        <x:v>41</x:v>
      </x:c>
      <x:c r="B66" s="1"/>
      <x:c r="C66" s="1"/>
      <x:c r="D66" s="1"/>
      <x:c r="E66" s="1" t="n">
        <x:v>2</x:v>
      </x:c>
      <x:c r="F66" s="1"/>
      <x:c r="G66" s="1"/>
      <x:c r="H66" s="1" t="n">
        <x:v>269</x:v>
      </x:c>
      <x:c r="I66" s="1"/>
      <x:c r="J66" s="1" t="n">
        <x:v>1.148</x:v>
      </x:c>
      <x:c r="K66" s="1" t="n">
        <x:v>5184</x:v>
      </x:c>
      <x:c r="L66" s="1"/>
      <x:c r="M66" s="1"/>
      <x:c r="N66" s="1" t="str">
        <x:v>-99</x:v>
      </x:c>
      <x:c r="O66" s="1"/>
      <x:c r="P66" s="1" t="n">
        <x:v>4.99</x:v>
      </x:c>
      <x:c r="Q66" s="1"/>
      <x:c r="R66" s="1"/>
      <x:c r="S66" s="1"/>
      <x:c r="T66" s="1" t="str">
        <x:v> 2027-09-07</x:v>
      </x:c>
      <x:c r="U66" s="1" t="str">
        <x:v>41</x:v>
      </x:c>
      <x:c r="V66" s="1"/>
      <x:c r="W66" s="1"/>
      <x:c r="X66" s="1"/>
      <x:c r="Y66" s="1"/>
      <x:c r="Z66" s="1"/>
      <x:c r="AA66" s="1"/>
      <x:c r="AB66" s="1"/>
      <x:c r="AC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1" t="str">
        <x:v>! Section</x:v>
      </x:c>
      <x:c r="B68" s="1" t="str">
        <x:v>Crop_observations_timeseries</x:v>
      </x:c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 s="1" t="str">
        <x:v>! Definitions</x:v>
      </x:c>
      <x:c r="B69" s="1" t="str">
        <x:v>Date of measurement; use YYYY-MM-DD.</x:v>
      </x:c>
      <x:c r="C69" s="1"/>
      <x:c r="D69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69" s="1" t="str">
        <x:v>Canopy height</x:v>
      </x:c>
      <x:c r="F69" s="1" t="str">
        <x:v>Plant_height (e.g., including spikes above canopy per se)</x:v>
      </x:c>
      <x:c r="G69" s="1" t="str">
        <x:v>Dry weight of above-ground parts</x:v>
      </x:c>
      <x:c r="H69" s="1" t="str">
        <x:v>Grain dry weight</x:v>
      </x:c>
      <x:c r="I69" s="1" t="str">
        <x:v>Leaf dry weight</x:v>
      </x:c>
      <x:c r="J69" s="1" t="str">
        <x:v>Root dry weight</x:v>
      </x:c>
      <x:c r="K69" s="1" t="str">
        <x:v>Stem dry weight</x:v>
      </x:c>
      <x:c r="L69" s="1" t="str">
        <x:v>Root depth, maximum extent at date</x:v>
      </x:c>
      <x:c r="M69" s="1" t="str">
        <x:v>Leaf area index on a given day</x:v>
      </x:c>
      <x:c r="N69" s="1" t="str">
        <x:v>Leaf number per main stem</x:v>
      </x:c>
      <x:c r="O69" s="1" t="str">
        <x:v>Plant density on sampling date</x:v>
      </x:c>
      <x:c r="P69" s="1" t="str">
        <x:v>Leaf N concentration</x:v>
      </x:c>
      <x:c r="Q69" s="1" t="str">
        <x:v>Nitrogen in above ground plant parts</x:v>
      </x:c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 t="str">
        <x:v>! Units</x:v>
      </x:c>
      <x:c r="B70" s="1" t="str">
        <x:v>date</x:v>
      </x:c>
      <x:c r="C70" s="1"/>
      <x:c r="D70" s="1" t="str">
        <x:v>text</x:v>
      </x:c>
      <x:c r="E70" s="1" t="str">
        <x:v>m</x:v>
      </x:c>
      <x:c r="F70" s="1" t="str">
        <x:v>m</x:v>
      </x:c>
      <x:c r="G70" s="1" t="str">
        <x:v>kg/ha</x:v>
      </x:c>
      <x:c r="H70" s="1" t="str">
        <x:v>kg/ha</x:v>
      </x:c>
      <x:c r="I70" s="1" t="str">
        <x:v>kg/ha</x:v>
      </x:c>
      <x:c r="J70" s="1" t="str">
        <x:v>kg/ha</x:v>
      </x:c>
      <x:c r="K70" s="1" t="str">
        <x:v>kg/ha</x:v>
      </x:c>
      <x:c r="L70" s="1" t="str">
        <x:v>m</x:v>
      </x:c>
      <x:c r="M70" s="1" t="str">
        <x:v>m2/m2</x:v>
      </x:c>
      <x:c r="N70" s="1" t="str">
        <x:v>number</x:v>
      </x:c>
      <x:c r="O70" s="1" t="str">
        <x:v>number/m2</x:v>
      </x:c>
      <x:c r="P70" s="1" t="str">
        <x:v>%</x:v>
      </x:c>
      <x:c r="Q70" s="1" t="str">
        <x:v>kg[N]/ha</x:v>
      </x:c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2" t="str">
        <x:v>%</x:v>
      </x:c>
      <x:c r="B71" s="2" t="str">
        <x:v>DATE</x:v>
      </x:c>
      <x:c r="C71" s="2"/>
      <x:c r="D71" s="2" t="str">
        <x:v>GRPPL_CO</x:v>
      </x:c>
      <x:c r="E71" s="2" t="str">
        <x:v>hctd</x:v>
      </x:c>
      <x:c r="F71" s="2" t="str">
        <x:v>PHTD</x:v>
      </x:c>
      <x:c r="G71" s="2" t="str">
        <x:v> CWAD </x:v>
      </x:c>
      <x:c r="H71" s="2" t="str">
        <x:v>gwad</x:v>
      </x:c>
      <x:c r="I71" s="2" t="str">
        <x:v>LWAD</x:v>
      </x:c>
      <x:c r="J71" s="2" t="str">
        <x:v>RWAD</x:v>
      </x:c>
      <x:c r="K71" s="2" t="str">
        <x:v>swad</x:v>
      </x:c>
      <x:c r="L71" s="2" t="str">
        <x:v> RDPD </x:v>
      </x:c>
      <x:c r="M71" s="2" t="str">
        <x:v>LAID</x:v>
      </x:c>
      <x:c r="N71" s="2" t="str">
        <x:v>l#sd</x:v>
      </x:c>
      <x:c r="O71" s="2" t="str">
        <x:v>PLPAD</x:v>
      </x:c>
      <x:c r="P71" s="2" t="str">
        <x:v>LN%D</x:v>
      </x:c>
      <x:c r="Q71" s="2" t="str">
        <x:v> cnad </x:v>
      </x:c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</x:row>
    <x:row r="72">
      <x:c r="A72" s="1" t="n">
        <x:v>11</x:v>
      </x:c>
      <x:c r="B72" s="1" t="str">
        <x:v>2026-5-31</x:v>
      </x:c>
      <x:c r="C72" s="1"/>
      <x:c r="D72" s="1" t="str">
        <x:v>11</x:v>
      </x:c>
      <x:c r="E72" s="1" t="n">
        <x:v>0.315</x:v>
      </x:c>
      <x:c r="F72" s="1" t="n">
        <x:v>0.361</x:v>
      </x:c>
      <x:c r="G72" s="1"/>
      <x:c r="H72" s="1"/>
      <x:c r="I72" s="1" t="n">
        <x:v>139</x:v>
      </x:c>
      <x:c r="J72" s="1"/>
      <x:c r="K72" s="1" t="n">
        <x:v>278</x:v>
      </x:c>
      <x:c r="L72" s="1"/>
      <x:c r="M72" s="1"/>
      <x:c r="N72" s="1" t="n">
        <x:v>1.22</x:v>
      </x:c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 t="n">
        <x:v>11</x:v>
      </x:c>
      <x:c r="B73" s="1" t="str">
        <x:v>26196</x:v>
      </x:c>
      <x:c r="C73" s="1"/>
      <x:c r="D73" s="1" t="str">
        <x:v>11</x:v>
      </x:c>
      <x:c r="E73" s="1" t="n">
        <x:v>1.201</x:v>
      </x:c>
      <x:c r="F73" s="1"/>
      <x:c r="G73" s="1" t="n">
        <x:v>5967</x:v>
      </x:c>
      <x:c r="H73" s="1"/>
      <x:c r="I73" s="1" t="n">
        <x:v>905</x:v>
      </x:c>
      <x:c r="J73" s="1"/>
      <x:c r="K73" s="1" t="n">
        <x:v>1811</x:v>
      </x:c>
      <x:c r="L73" s="1"/>
      <x:c r="M73" s="1"/>
      <x:c r="N73" s="1" t="n">
        <x:v>4.47</x:v>
      </x:c>
      <x:c r="O73" s="1"/>
      <x:c r="P73" s="1"/>
      <x:c r="Q73" s="1"/>
      <x:c r="R73" s="1" t="str">
        <x:v>-99</x:v>
      </x:c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 t="n">
        <x:v>11</x:v>
      </x:c>
      <x:c r="B74" s="3" t="d">
        <x:v>2026-08-27T00:00:00.000Z</x:v>
      </x:c>
      <x:c r="C74" s="1"/>
      <x:c r="D74" s="1" t="str">
        <x:v>11</x:v>
      </x:c>
      <x:c r="E74" s="1" t="n">
        <x:v>1.625</x:v>
      </x:c>
      <x:c r="F74" s="1" t="n">
        <x:v>1.805</x:v>
      </x:c>
      <x:c r="G74" s="1" t="n">
        <x:v>12825</x:v>
      </x:c>
      <x:c r="H74" s="1" t="n">
        <x:v>5512</x:v>
      </x:c>
      <x:c r="I74" s="1" t="n">
        <x:v>1911</x:v>
      </x:c>
      <x:c r="J74" s="1"/>
      <x:c r="K74" s="1" t="n">
        <x:v>3822</x:v>
      </x:c>
      <x:c r="L74" s="1"/>
      <x:c r="M74" s="1" t="n">
        <x:v>1.81</x:v>
      </x:c>
      <x:c r="N74" s="1"/>
      <x:c r="O74" s="1"/>
      <x:c r="P74" s="1"/>
      <x:c r="Q74" s="1" t="str">
        <x:v>-99.0</x:v>
      </x:c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 t="n">
        <x:v>29</x:v>
      </x:c>
      <x:c r="B75" s="1" t="str">
        <x:v> 2027-06-07</x:v>
      </x:c>
      <x:c r="C75" s="1"/>
      <x:c r="D75" s="1" t="str">
        <x:v>29</x:v>
      </x:c>
      <x:c r="E75" s="1"/>
      <x:c r="F75" s="1"/>
      <x:c r="G75" s="1" t="n">
        <x:v>893</x:v>
      </x:c>
      <x:c r="H75" s="1"/>
      <x:c r="I75" s="1"/>
      <x:c r="J75" s="1" t="n">
        <x:v>161</x:v>
      </x:c>
      <x:c r="K75" s="1"/>
      <x:c r="L75" s="1" t="n">
        <x:v>0.32</x:v>
      </x:c>
      <x:c r="M75" s="1" t="n">
        <x:v>1.38</x:v>
      </x:c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 t="n">
        <x:v>29</x:v>
      </x:c>
      <x:c r="B76" s="1" t="str">
        <x:v>2027-7-1</x:v>
      </x:c>
      <x:c r="C76" s="1"/>
      <x:c r="D76" s="1" t="str">
        <x:v>29</x:v>
      </x:c>
      <x:c r="E76" s="1"/>
      <x:c r="F76" s="1" t="n">
        <x:v>0.538</x:v>
      </x:c>
      <x:c r="G76" s="1" t="n">
        <x:v>2925</x:v>
      </x:c>
      <x:c r="H76" s="1" t="str">
        <x:v>-99.0</x:v>
      </x:c>
      <x:c r="I76" s="1" t="str">
        <x:v>-99</x:v>
      </x:c>
      <x:c r="J76" s="1" t="n">
        <x:v>526</x:v>
      </x:c>
      <x:c r="K76" s="1"/>
      <x:c r="L76" s="1" t="n">
        <x:v>0.48</x:v>
      </x:c>
      <x:c r="M76" s="1" t="n">
        <x:v>3.21</x:v>
      </x:c>
      <x:c r="N76" s="1" t="str">
        <x:v>-99</x:v>
      </x:c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1" t="n">
        <x:v>29</x:v>
      </x:c>
      <x:c r="B77" s="1" t="str">
        <x:v>27230</x:v>
      </x:c>
      <x:c r="C77" s="1"/>
      <x:c r="D77" s="1" t="str">
        <x:v>29</x:v>
      </x:c>
      <x:c r="E77" s="1"/>
      <x:c r="F77" s="1"/>
      <x:c r="G77" s="1"/>
      <x:c r="H77" s="1" t="str">
        <x:v>-99.0</x:v>
      </x:c>
      <x:c r="I77" s="1"/>
      <x:c r="J77" s="1" t="n">
        <x:v>1531</x:v>
      </x:c>
      <x:c r="K77" s="1"/>
      <x:c r="L77" s="1" t="n">
        <x:v>0.8</x:v>
      </x:c>
      <x:c r="M77" s="1" t="n">
        <x:v>4.02</x:v>
      </x:c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 s="1" t="n">
        <x:v>29</x:v>
      </x:c>
      <x:c r="B78" s="3" t="d">
        <x:v>2027-09-11T00:00:00.000Z</x:v>
      </x:c>
      <x:c r="C78" s="1"/>
      <x:c r="D78" s="1" t="str">
        <x:v>29</x:v>
      </x:c>
      <x:c r="E78" s="1"/>
      <x:c r="F78" s="1" t="n">
        <x:v>1.153</x:v>
      </x:c>
      <x:c r="G78" s="1" t="n">
        <x:v>11839</x:v>
      </x:c>
      <x:c r="H78" s="1"/>
      <x:c r="I78" s="1"/>
      <x:c r="J78" s="1" t="n">
        <x:v>2131</x:v>
      </x:c>
      <x:c r="K78" s="1"/>
      <x:c r="L78" s="1" t="n">
        <x:v>0.96</x:v>
      </x:c>
      <x:c r="M78" s="1" t="n">
        <x:v>2.04</x:v>
      </x:c>
      <x:c r="N78" s="1" t="str">
        <x:v>-99.0</x:v>
      </x:c>
      <x:c r="O78" s="1"/>
      <x:c r="P78" s="1" t="str">
        <x:v>-99.0</x:v>
      </x:c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 t="n">
        <x:v>17</x:v>
      </x:c>
      <x:c r="B79" s="1" t="str">
        <x:v> 2026-05-31</x:v>
      </x:c>
      <x:c r="C79" s="1"/>
      <x:c r="D79" s="1" t="str">
        <x:v>17</x:v>
      </x:c>
      <x:c r="E79" s="1"/>
      <x:c r="F79" s="1" t="n">
        <x:v>0.361</x:v>
      </x:c>
      <x:c r="G79" s="1" t="n">
        <x:v>940</x:v>
      </x:c>
      <x:c r="H79" s="1"/>
      <x:c r="I79" s="1"/>
      <x:c r="J79" s="1"/>
      <x:c r="K79" s="1" t="str">
        <x:v>-99.0</x:v>
      </x:c>
      <x:c r="L79" s="1" t="n">
        <x:v>0.258</x:v>
      </x:c>
      <x:c r="M79" s="1" t="n">
        <x:v>1.19</x:v>
      </x:c>
      <x:c r="N79" s="1"/>
      <x:c r="O79" s="1" t="n">
        <x:v>17.36</x:v>
      </x:c>
      <x:c r="P79" s="1" t="n">
        <x:v>3.61</x:v>
      </x:c>
      <x:c r="Q79" s="1" t="n">
        <x:v>13.51</x:v>
      </x:c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 t="n">
        <x:v>17</x:v>
      </x:c>
      <x:c r="B80" s="1" t="str">
        <x:v>2026-6-22</x:v>
      </x:c>
      <x:c r="C80" s="1"/>
      <x:c r="D80" s="1" t="str">
        <x:v>17</x:v>
      </x:c>
      <x:c r="E80" s="1"/>
      <x:c r="F80" s="1"/>
      <x:c r="G80" s="1"/>
      <x:c r="H80" s="1"/>
      <x:c r="I80" s="1"/>
      <x:c r="J80" s="1"/>
      <x:c r="K80" s="1" t="str">
        <x:v>-99.0</x:v>
      </x:c>
      <x:c r="L80" s="1"/>
      <x:c r="M80" s="1" t="n">
        <x:v>2.77</x:v>
      </x:c>
      <x:c r="N80" s="1"/>
      <x:c r="O80" s="1" t="n">
        <x:v>17.21</x:v>
      </x:c>
      <x:c r="P80" s="1" t="n">
        <x:v>3.35</x:v>
      </x:c>
      <x:c r="Q80" s="1" t="n">
        <x:v>45.36</x:v>
      </x:c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 t="n">
        <x:v>17</x:v>
      </x:c>
      <x:c r="B81" s="1" t="str">
        <x:v>26196</x:v>
      </x:c>
      <x:c r="C81" s="1"/>
      <x:c r="D81" s="1" t="str">
        <x:v>17</x:v>
      </x:c>
      <x:c r="E81" s="1" t="str">
        <x:v>-99.0</x:v>
      </x:c>
      <x:c r="F81" s="1" t="n">
        <x:v>1.322</x:v>
      </x:c>
      <x:c r="G81" s="1" t="n">
        <x:v>5798</x:v>
      </x:c>
      <x:c r="H81" s="1"/>
      <x:c r="I81" s="1"/>
      <x:c r="J81" s="1"/>
      <x:c r="K81" s="1"/>
      <x:c r="L81" s="1" t="str">
        <x:v>-99.0</x:v>
      </x:c>
      <x:c r="M81" s="1" t="n">
        <x:v>4.35</x:v>
      </x:c>
      <x:c r="N81" s="1"/>
      <x:c r="O81" s="1" t="n">
        <x:v>17.06</x:v>
      </x:c>
      <x:c r="P81" s="1" t="n">
        <x:v>3.08</x:v>
      </x:c>
      <x:c r="Q81" s="1" t="n">
        <x:v>87.97</x:v>
      </x:c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 t="n">
        <x:v>17</x:v>
      </x:c>
      <x:c r="B82" s="3" t="d">
        <x:v>2026-08-05T00:00:00.000Z</x:v>
      </x:c>
      <x:c r="C82" s="1"/>
      <x:c r="D82" s="1" t="str">
        <x:v>17</x:v>
      </x:c>
      <x:c r="E82" s="1"/>
      <x:c r="F82" s="1"/>
      <x:c r="G82" s="1" t="n">
        <x:v>8951</x:v>
      </x:c>
      <x:c r="H82" s="1"/>
      <x:c r="I82" s="1"/>
      <x:c r="J82" s="1"/>
      <x:c r="K82" s="1"/>
      <x:c r="L82" s="1" t="str">
        <x:v>-99.0</x:v>
      </x:c>
      <x:c r="M82" s="1" t="n">
        <x:v>3.46</x:v>
      </x:c>
      <x:c r="N82" s="1"/>
      <x:c r="O82" s="1" t="n">
        <x:v>16.92</x:v>
      </x:c>
      <x:c r="P82" s="1" t="n">
        <x:v>2.83</x:v>
      </x:c>
      <x:c r="Q82" s="1" t="n">
        <x:v>133.12</x:v>
      </x:c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 t="n">
        <x:v>17</x:v>
      </x:c>
      <x:c r="B83" s="1" t="str">
        <x:v> 2026-08-27</x:v>
      </x:c>
      <x:c r="C83" s="1"/>
      <x:c r="D83" s="1" t="str">
        <x:v>17</x:v>
      </x:c>
      <x:c r="E83" s="1"/>
      <x:c r="F83" s="1" t="n">
        <x:v>1.803</x:v>
      </x:c>
      <x:c r="G83" s="1"/>
      <x:c r="H83" s="1"/>
      <x:c r="I83" s="1"/>
      <x:c r="J83" s="1"/>
      <x:c r="K83" s="1"/>
      <x:c r="L83" s="1"/>
      <x:c r="M83" s="1" t="n">
        <x:v>1.75</x:v>
      </x:c>
      <x:c r="N83" s="1" t="str">
        <x:v>-99</x:v>
      </x:c>
      <x:c r="O83" s="1" t="n">
        <x:v>16.78</x:v>
      </x:c>
      <x:c r="P83" s="1" t="n">
        <x:v>2.57</x:v>
      </x:c>
      <x:c r="Q83" s="1" t="n">
        <x:v>185.69</x:v>
      </x:c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1" t="n">
        <x:v>35</x:v>
      </x:c>
      <x:c r="B84" s="1" t="str">
        <x:v>2027-6-7</x:v>
      </x:c>
      <x:c r="C84" s="1"/>
      <x:c r="D84" s="1" t="str">
        <x:v>35</x:v>
      </x:c>
      <x:c r="E84" s="1"/>
      <x:c r="F84" s="1"/>
      <x:c r="G84" s="1"/>
      <x:c r="H84" s="1"/>
      <x:c r="I84" s="1" t="n">
        <x:v>130</x:v>
      </x:c>
      <x:c r="J84" s="1"/>
      <x:c r="K84" s="1" t="n">
        <x:v>260</x:v>
      </x:c>
      <x:c r="L84" s="1"/>
      <x:c r="M84" s="1" t="n">
        <x:v>1.34</x:v>
      </x:c>
      <x:c r="N84" s="1" t="n">
        <x:v>2.8</x:v>
      </x:c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1" t="n">
        <x:v>35</x:v>
      </x:c>
      <x:c r="B85" s="1" t="str">
        <x:v>27206</x:v>
      </x:c>
      <x:c r="C85" s="1"/>
      <x:c r="D85" s="1" t="str">
        <x:v>35</x:v>
      </x:c>
      <x:c r="E85" s="1" t="str">
        <x:v>-99.0</x:v>
      </x:c>
      <x:c r="F85" s="1" t="n">
        <x:v>0.845</x:v>
      </x:c>
      <x:c r="G85" s="1" t="n">
        <x:v>5352</x:v>
      </x:c>
      <x:c r="H85" s="1"/>
      <x:c r="I85" s="1" t="n">
        <x:v>803</x:v>
      </x:c>
      <x:c r="J85" s="1"/>
      <x:c r="K85" s="1" t="n">
        <x:v>1606</x:v>
      </x:c>
      <x:c r="L85" s="1"/>
      <x:c r="M85" s="1" t="n">
        <x:v>4.91</x:v>
      </x:c>
      <x:c r="N85" s="1" t="n">
        <x:v>10.2</x:v>
      </x:c>
      <x:c r="O85" s="1"/>
      <x:c r="P85" s="1" t="str">
        <x:v>-99.0</x:v>
      </x:c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1" t="n">
        <x:v>35</x:v>
      </x:c>
      <x:c r="B86" s="3" t="d">
        <x:v>2027-09-11T00:00:00.000Z</x:v>
      </x:c>
      <x:c r="C86" s="1"/>
      <x:c r="D86" s="1" t="str">
        <x:v>35</x:v>
      </x:c>
      <x:c r="E86" s="1"/>
      <x:c r="F86" s="1"/>
      <x:c r="G86" s="1" t="n">
        <x:v>5562</x:v>
      </x:c>
      <x:c r="H86" s="1" t="n">
        <x:v>11504</x:v>
      </x:c>
      <x:c r="I86" s="1" t="n">
        <x:v>1726</x:v>
      </x:c>
      <x:c r="J86" s="1"/>
      <x:c r="K86" s="1" t="n">
        <x:v>3451</x:v>
      </x:c>
      <x:c r="L86" s="1"/>
      <x:c r="M86" s="1" t="n">
        <x:v>1.98</x:v>
      </x:c>
      <x:c r="N86" s="1" t="n">
        <x:v>12</x:v>
      </x:c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 t="n">
        <x:v>23</x:v>
      </x:c>
      <x:c r="B87" s="1" t="str">
        <x:v> 2026-05-31</x:v>
      </x:c>
      <x:c r="C87" s="1"/>
      <x:c r="D87" s="1" t="str">
        <x:v>23</x:v>
      </x:c>
      <x:c r="E87" s="1" t="n">
        <x:v>0.314</x:v>
      </x:c>
      <x:c r="F87" s="1" t="n">
        <x:v>0.359</x:v>
      </x:c>
      <x:c r="G87" s="1" t="n">
        <x:v>876</x:v>
      </x:c>
      <x:c r="H87" s="1"/>
      <x:c r="I87" s="1"/>
      <x:c r="J87" s="1" t="n">
        <x:v>151</x:v>
      </x:c>
      <x:c r="K87" s="1" t="str">
        <x:v>-99.0</x:v>
      </x:c>
      <x:c r="L87" s="1" t="n">
        <x:v>0.316</x:v>
      </x:c>
      <x:c r="M87" s="1" t="n">
        <x:v>1.1</x:v>
      </x:c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 t="n">
        <x:v>23</x:v>
      </x:c>
      <x:c r="B88" s="1" t="str">
        <x:v>2026-6-22</x:v>
      </x:c>
      <x:c r="C88" s="1"/>
      <x:c r="D88" s="1" t="str">
        <x:v>23</x:v>
      </x:c>
      <x:c r="E88" s="1" t="n">
        <x:v>0.745</x:v>
      </x:c>
      <x:c r="F88" s="1"/>
      <x:c r="G88" s="1" t="n">
        <x:v>2870</x:v>
      </x:c>
      <x:c r="H88" s="1"/>
      <x:c r="I88" s="1"/>
      <x:c r="J88" s="1" t="n">
        <x:v>507</x:v>
      </x:c>
      <x:c r="K88" s="1"/>
      <x:c r="L88" s="1" t="n">
        <x:v>0.476</x:v>
      </x:c>
      <x:c r="M88" s="1" t="n">
        <x:v>2.58</x:v>
      </x:c>
      <x:c r="N88" s="1"/>
      <x:c r="O88" s="1"/>
      <x:c r="P88" s="1" t="str">
        <x:v>-99</x:v>
      </x:c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 t="n">
        <x:v>23</x:v>
      </x:c>
      <x:c r="B89" s="1" t="str">
        <x:v>26217</x:v>
      </x:c>
      <x:c r="C89" s="1"/>
      <x:c r="D89" s="1" t="str">
        <x:v>23</x:v>
      </x:c>
      <x:c r="E89" s="1" t="n">
        <x:v>1.607</x:v>
      </x:c>
      <x:c r="F89" s="1" t="n">
        <x:v>1.796</x:v>
      </x:c>
      <x:c r="G89" s="1"/>
      <x:c r="H89" s="1"/>
      <x:c r="I89" s="1"/>
      <x:c r="J89" s="1" t="n">
        <x:v>1489</x:v>
      </x:c>
      <x:c r="K89" s="1" t="str">
        <x:v>-99.0</x:v>
      </x:c>
      <x:c r="L89" s="1" t="n">
        <x:v>0.796</x:v>
      </x:c>
      <x:c r="M89" s="1" t="n">
        <x:v>3.23</x:v>
      </x:c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 t="n">
        <x:v>23</x:v>
      </x:c>
      <x:c r="B90" s="3" t="d">
        <x:v>2026-08-27T00:00:00.000Z</x:v>
      </x:c>
      <x:c r="C90" s="1"/>
      <x:c r="D90" s="1" t="str">
        <x:v>23</x:v>
      </x:c>
      <x:c r="E90" s="1" t="n">
        <x:v>1.617</x:v>
      </x:c>
      <x:c r="F90" s="1"/>
      <x:c r="G90" s="1" t="n">
        <x:v>11615</x:v>
      </x:c>
      <x:c r="H90" s="1"/>
      <x:c r="I90" s="1"/>
      <x:c r="J90" s="1" t="n">
        <x:v>2077</x:v>
      </x:c>
      <x:c r="K90" s="1"/>
      <x:c r="L90" s="1" t="n">
        <x:v>0.956</x:v>
      </x:c>
      <x:c r="M90" s="1" t="n">
        <x:v>1.64</x:v>
      </x:c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 t="n">
        <x:v>41</x:v>
      </x:c>
      <x:c r="B91" s="1" t="str">
        <x:v> 2027-06-07</x:v>
      </x:c>
      <x:c r="C91" s="1"/>
      <x:c r="D91" s="1" t="str">
        <x:v>41</x:v>
      </x:c>
      <x:c r="E91" s="1"/>
      <x:c r="F91" s="1"/>
      <x:c r="G91" s="1" t="n">
        <x:v>809</x:v>
      </x:c>
      <x:c r="H91" s="1"/>
      <x:c r="I91" s="1"/>
      <x:c r="J91" s="1"/>
      <x:c r="K91" s="1"/>
      <x:c r="L91" s="1"/>
      <x:c r="M91" s="1" t="n">
        <x:v>1.25</x:v>
      </x:c>
      <x:c r="N91" s="1"/>
      <x:c r="O91" s="1"/>
      <x:c r="P91" s="1" t="n">
        <x:v>3.6</x:v>
      </x:c>
      <x:c r="Q91" s="1" t="n">
        <x:v>12.13</x:v>
      </x:c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 t="n">
        <x:v>41</x:v>
      </x:c>
      <x:c r="B92" s="1" t="str">
        <x:v>2027-7-1</x:v>
      </x:c>
      <x:c r="C92" s="1"/>
      <x:c r="D92" s="1" t="str">
        <x:v>41</x:v>
      </x:c>
      <x:c r="E92" s="1"/>
      <x:c r="F92" s="1" t="n">
        <x:v>0.536</x:v>
      </x:c>
      <x:c r="G92" s="1"/>
      <x:c r="H92" s="1"/>
      <x:c r="I92" s="1"/>
      <x:c r="J92" s="1" t="str">
        <x:v>-99.0</x:v>
      </x:c>
      <x:c r="K92" s="1"/>
      <x:c r="L92" s="1" t="str">
        <x:v>-99</x:v>
      </x:c>
      <x:c r="M92" s="1" t="n">
        <x:v>2.91</x:v>
      </x:c>
      <x:c r="N92" s="1"/>
      <x:c r="O92" s="1"/>
      <x:c r="P92" s="1" t="n">
        <x:v>3.34</x:v>
      </x:c>
      <x:c r="Q92" s="1" t="n">
        <x:v>39.73</x:v>
      </x:c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 t="n">
        <x:v>41</x:v>
      </x:c>
      <x:c r="B93" s="1" t="str">
        <x:v>27206</x:v>
      </x:c>
      <x:c r="C93" s="1"/>
      <x:c r="D93" s="1" t="str">
        <x:v>41</x:v>
      </x:c>
      <x:c r="E93" s="1"/>
      <x:c r="F93" s="1"/>
      <x:c r="G93" s="1" t="n">
        <x:v>4988</x:v>
      </x:c>
      <x:c r="H93" s="1"/>
      <x:c r="I93" s="1"/>
      <x:c r="J93" s="1"/>
      <x:c r="K93" s="1"/>
      <x:c r="L93" s="1"/>
      <x:c r="M93" s="1" t="n">
        <x:v>4.57</x:v>
      </x:c>
      <x:c r="N93" s="1"/>
      <x:c r="O93" s="1"/>
      <x:c r="P93" s="1" t="n">
        <x:v>3.08</x:v>
      </x:c>
      <x:c r="Q93" s="1" t="n">
        <x:v>74.82</x:v>
      </x:c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 t="n">
        <x:v>41</x:v>
      </x:c>
      <x:c r="B94" s="3" t="d">
        <x:v>2027-08-18T00:00:00.000Z</x:v>
      </x:c>
      <x:c r="C94" s="1"/>
      <x:c r="D94" s="1" t="str">
        <x:v>41</x:v>
      </x:c>
      <x:c r="E94" s="1"/>
      <x:c r="F94" s="1" t="n">
        <x:v>1.148</x:v>
      </x:c>
      <x:c r="G94" s="1" t="n">
        <x:v>7701</x:v>
      </x:c>
      <x:c r="H94" s="1" t="str">
        <x:v>-99</x:v>
      </x:c>
      <x:c r="I94" s="1"/>
      <x:c r="J94" s="1"/>
      <x:c r="K94" s="1" t="str">
        <x:v>-99</x:v>
      </x:c>
      <x:c r="L94" s="1" t="str">
        <x:v>-99.0</x:v>
      </x:c>
      <x:c r="M94" s="1" t="n">
        <x:v>3.64</x:v>
      </x:c>
      <x:c r="N94" s="1"/>
      <x:c r="O94" s="1"/>
      <x:c r="P94" s="1" t="n">
        <x:v>2.82</x:v>
      </x:c>
      <x:c r="Q94" s="1" t="n">
        <x:v>115.52</x:v>
      </x:c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 t="n">
        <x:v>41</x:v>
      </x:c>
      <x:c r="B95" s="1" t="str">
        <x:v> 2027-09-11</x:v>
      </x:c>
      <x:c r="C95" s="1"/>
      <x:c r="D95" s="1" t="str">
        <x:v>41</x:v>
      </x:c>
      <x:c r="E95" s="1"/>
      <x:c r="F95" s="1"/>
      <x:c r="G95" s="1"/>
      <x:c r="H95" s="1"/>
      <x:c r="I95" s="1"/>
      <x:c r="J95" s="1"/>
      <x:c r="K95" s="1"/>
      <x:c r="L95" s="1"/>
      <x:c r="M95" s="1" t="n">
        <x:v>1.85</x:v>
      </x:c>
      <x:c r="N95" s="1" t="str">
        <x:v>-99.0</x:v>
      </x:c>
      <x:c r="O95" s="1" t="str">
        <x:v>-99.0</x:v>
      </x:c>
      <x:c r="P95" s="1" t="n">
        <x:v>2.56</x:v>
      </x:c>
      <x:c r="Q95" s="1" t="n">
        <x:v>160.83</x:v>
      </x:c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 t="str">
        <x:v>! Section</x:v>
      </x:c>
      <x:c r="B97" s="1" t="str">
        <x:v>Environmental_modification</x:v>
      </x:c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 t="str">
        <x:v>! Definitions</x:v>
      </x:c>
      <x:c r="B98" s="1" t="str">
        <x:v>Environmental modification, dewpoint</x:v>
      </x:c>
      <x:c r="C98" s="1"/>
      <x:c r="D98" s="1" t="str">
        <x:v>Environmental modific.code, dewpoint</x:v>
      </x:c>
      <x:c r="E98" s="1" t="str">
        <x:v>Environmental modification, CO2</x:v>
      </x:c>
      <x:c r="F98" s="1" t="str">
        <x:v>Environmental modific.code, CO2</x:v>
      </x:c>
      <x:c r="G98" s="1" t="str">
        <x:v>Environmental modification, minimum temperature</x:v>
      </x:c>
      <x:c r="H98" s="1" t="str">
        <x:v>Environmental modific.code, minimum temperature</x:v>
      </x:c>
      <x:c r="I98" s="1" t="str">
        <x:v>Environmental modification, maximum temperature</x:v>
      </x:c>
      <x:c r="J98" s="1" t="str">
        <x:v>Environmental modific.code, maximum temperature</x:v>
      </x:c>
      <x:c r="K98" s="1" t="str">
        <x:v>Environmental modification,radiation</x:v>
      </x:c>
      <x:c r="L98" s="1" t="str">
        <x:v>Environmental modific.code, radiation</x:v>
      </x:c>
      <x:c r="M98" s="1" t="str">
        <x:v>Identifier of the environmental modification treatment associated with the event</x:v>
      </x:c>
      <x:c r="N98" s="1" t="str">
        <x:v>Environmental modifications date; use YYYY-MM-DD.</x:v>
      </x:c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 t="str">
        <x:v>! Units</x:v>
      </x:c>
      <x:c r="B99" s="1" t="str">
        <x:v>degree_C</x:v>
      </x:c>
      <x:c r="C99" s="1"/>
      <x:c r="D99" s="1" t="str">
        <x:v>code</x:v>
      </x:c>
      <x:c r="E99" s="1" t="str">
        <x:v>ppm</x:v>
      </x:c>
      <x:c r="F99" s="1" t="str">
        <x:v>code</x:v>
      </x:c>
      <x:c r="G99" s="1" t="str">
        <x:v>degree_C</x:v>
      </x:c>
      <x:c r="H99" s="1" t="str">
        <x:v>code</x:v>
      </x:c>
      <x:c r="I99" s="1" t="str">
        <x:v>degree_C</x:v>
      </x:c>
      <x:c r="J99" s="1" t="str">
        <x:v>code</x:v>
      </x:c>
      <x:c r="K99" s="1" t="str">
        <x:v>MJ/(m2.d)</x:v>
      </x:c>
      <x:c r="L99" s="1" t="str">
        <x:v>code</x:v>
      </x:c>
      <x:c r="M99" s="1" t="str">
        <x:v>text</x:v>
      </x:c>
      <x:c r="N99" s="1" t="str">
        <x:v>date</x:v>
      </x:c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2" t="str">
        <x:v>%</x:v>
      </x:c>
      <x:c r="B100" s="2" t="str">
        <x:v>emdew</x:v>
      </x:c>
      <x:c r="C100" s="2"/>
      <x:c r="D100" s="2" t="str">
        <x:v>ECDEW</x:v>
      </x:c>
      <x:c r="E100" s="2" t="str">
        <x:v> EMCO2 </x:v>
      </x:c>
      <x:c r="F100" s="2" t="str">
        <x:v>ecco2</x:v>
      </x:c>
      <x:c r="G100" s="2" t="str">
        <x:v>EMMIN</x:v>
      </x:c>
      <x:c r="H100" s="2" t="str">
        <x:v>ECMIN</x:v>
      </x:c>
      <x:c r="I100" s="2" t="str">
        <x:v>emmax</x:v>
      </x:c>
      <x:c r="J100" s="2" t="str">
        <x:v> ECMAX </x:v>
      </x:c>
      <x:c r="K100" s="2" t="str">
        <x:v>EMRAD</x:v>
      </x:c>
      <x:c r="L100" s="2" t="str">
        <x:v>ecrad</x:v>
      </x:c>
      <x:c r="M100" s="2" t="str">
        <x:v>ENVM_EME</x:v>
      </x:c>
      <x:c r="N100" s="2" t="str">
        <x:v>EMDATE</x:v>
      </x:c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</x:row>
    <x:row r="101">
      <x:c r="A101" s="1" t="n">
        <x:v>23</x:v>
      </x:c>
      <x:c r="B101" s="1"/>
      <x:c r="C101" s="1"/>
      <x:c r="D101" s="1"/>
      <x:c r="E101" s="1" t="str">
        <x:v>-99</x:v>
      </x:c>
      <x:c r="F101" s="1"/>
      <x:c r="G101" s="1" t="n">
        <x:v>2</x:v>
      </x:c>
      <x:c r="H101" s="1" t="str">
        <x:v>Add</x:v>
      </x:c>
      <x:c r="I101" s="1" t="n">
        <x:v>3</x:v>
      </x:c>
      <x:c r="J101" s="1" t="str">
        <x:v>Add</x:v>
      </x:c>
      <x:c r="K101" s="1"/>
      <x:c r="L101" s="1"/>
      <x:c r="M101" s="1" t="str">
        <x:v>S0023</x:v>
      </x:c>
      <x:c r="N101" s="1" t="str">
        <x:v>2026-5-15</x:v>
      </x:c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>
      <x:c r="A102" s="1" t="n">
        <x:v>41</x:v>
      </x:c>
      <x:c r="B102" s="1" t="n">
        <x:v>1</x:v>
      </x:c>
      <x:c r="C102" s="1"/>
      <x:c r="D102" s="1" t="str">
        <x:v>Add</x:v>
      </x:c>
      <x:c r="E102" s="1"/>
      <x:c r="F102" s="1"/>
      <x:c r="G102" s="1"/>
      <x:c r="H102" s="1"/>
      <x:c r="I102" s="1"/>
      <x:c r="J102" s="1"/>
      <x:c r="K102" s="1"/>
      <x:c r="L102" s="1"/>
      <x:c r="M102" s="1" t="str">
        <x:v>S0024</x:v>
      </x:c>
      <x:c r="N102" s="1" t="str">
        <x:v>27140</x:v>
      </x:c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>
      <x:c r="A104" s="1" t="str">
        <x:v>! Section</x:v>
      </x:c>
      <x:c r="B104" s="1" t="str">
        <x:v>Environmental_modification_treatment</x:v>
      </x:c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>
      <x:c r="A105" s="1" t="str">
        <x:v>! Definitions</x:v>
      </x:c>
      <x:c r="B105" s="1" t="str">
        <x:v>Unique identifier for an environmental modification treatment</x:v>
      </x:c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>
      <x:c r="A106" s="1" t="str">
        <x:v>! Units</x:v>
      </x:c>
      <x:c r="B106" s="1" t="str">
        <x:v>text</x:v>
      </x:c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>
      <x:c r="A107" s="2" t="str">
        <x:v>#</x:v>
      </x:c>
      <x:c r="B107" s="2" t="str">
        <x:v>ENVMODTR</x:v>
      </x:c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</x:row>
    <x:row r="108">
      <x:c r="A108" s="1" t="n">
        <x:v>23</x:v>
      </x:c>
      <x:c r="B108" s="1" t="str">
        <x:v>S0023</x:v>
      </x:c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>
      <x:c r="A109" s="1" t="n">
        <x:v>41</x:v>
      </x:c>
      <x:c r="B109" s="1" t="str">
        <x:v>S0024</x:v>
      </x:c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>
      <x:c r="A111" s="1" t="str">
        <x:v>! Section</x:v>
      </x:c>
      <x:c r="B111" s="1" t="str">
        <x:v>Fertilization_events</x:v>
      </x:c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>
      <x:c r="A112" s="1" t="str">
        <x:v>! Definitions</x:v>
      </x:c>
      <x:c r="B112" s="1" t="str">
        <x:v>Nitrogen (elemental) in applied fertilizer</x:v>
      </x:c>
      <x:c r="C112" s="1"/>
      <x:c r="D112" s="1" t="str">
        <x:v>Total amount of fertilizer applied</x:v>
      </x:c>
      <x:c r="E112" s="1" t="str">
        <x:v>Identifier of the fertilization treatment associated with the event</x:v>
      </x:c>
      <x:c r="F112" s="1" t="str">
        <x:v>Fertilization date; use YYYY-MM-DD.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>
      <x:c r="A113" s="1" t="str">
        <x:v>! Units</x:v>
      </x:c>
      <x:c r="B113" s="1" t="str">
        <x:v>kg[N]/ha</x:v>
      </x:c>
      <x:c r="C113" s="1"/>
      <x:c r="D113" s="1" t="str">
        <x:v>kg[fertilizer]/ha</x:v>
      </x:c>
      <x:c r="E113" s="1" t="str">
        <x:v>text</x:v>
      </x:c>
      <x:c r="F113" s="1" t="str">
        <x:v>date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>
      <x:c r="A114" s="2" t="str">
        <x:v>%</x:v>
      </x:c>
      <x:c r="B114" s="2" t="str">
        <x:v>FEAMN</x:v>
      </x:c>
      <x:c r="C114" s="2"/>
      <x:c r="D114" s="2" t="str">
        <x:v>feam</x:v>
      </x:c>
      <x:c r="E114" s="2" t="str">
        <x:v>FERTT_FE</x:v>
      </x:c>
      <x:c r="F114" s="2" t="str">
        <x:v>FEDATE</x:v>
      </x:c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</x:row>
    <x:row r="115">
      <x:c r="A115" s="1" t="n">
        <x:v>17</x:v>
      </x:c>
      <x:c r="B115" s="1" t="n">
        <x:v>30</x:v>
      </x:c>
      <x:c r="C115" s="1"/>
      <x:c r="D115" s="1" t="n">
        <x:v>150</x:v>
      </x:c>
      <x:c r="E115" s="1" t="str">
        <x:v>S0038</x:v>
      </x:c>
      <x:c r="F115" s="3" t="d">
        <x:v>2026-05-15T00:00:00.000Z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>
      <x:c r="A116" s="1" t="n">
        <x:v>17</x:v>
      </x:c>
      <x:c r="B116" s="1" t="n">
        <x:v>30</x:v>
      </x:c>
      <x:c r="C116" s="1"/>
      <x:c r="D116" s="1" t="n">
        <x:v>150</x:v>
      </x:c>
      <x:c r="E116" s="1" t="str">
        <x:v>S0038</x:v>
      </x:c>
      <x:c r="F116" s="1" t="str">
        <x:v> 2026-06-14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>
      <x:c r="A117" s="1" t="n">
        <x:v>11</x:v>
      </x:c>
      <x:c r="B117" s="1" t="n">
        <x:v>60</x:v>
      </x:c>
      <x:c r="C117" s="1"/>
      <x:c r="D117" s="1" t="n">
        <x:v>300</x:v>
      </x:c>
      <x:c r="E117" s="1" t="str">
        <x:v>S0039</x:v>
      </x:c>
      <x:c r="F117" s="1" t="str">
        <x:v>2026-5-15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>
      <x:c r="A118" s="1" t="n">
        <x:v>23</x:v>
      </x:c>
      <x:c r="B118" s="1" t="n">
        <x:v>60</x:v>
      </x:c>
      <x:c r="C118" s="1"/>
      <x:c r="D118" s="1" t="n">
        <x:v>300</x:v>
      </x:c>
      <x:c r="E118" s="1" t="str">
        <x:v>S0039</x:v>
      </x:c>
      <x:c r="F118" s="1" t="str">
        <x:v>26135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>
      <x:c r="A119" s="1" t="n">
        <x:v>11</x:v>
      </x:c>
      <x:c r="B119" s="1" t="n">
        <x:v>60</x:v>
      </x:c>
      <x:c r="C119" s="1"/>
      <x:c r="D119" s="1" t="n">
        <x:v>300</x:v>
      </x:c>
      <x:c r="E119" s="1" t="str">
        <x:v>S0039</x:v>
      </x:c>
      <x:c r="F119" s="3" t="d">
        <x:v>2026-06-14T00:00:00.000Z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</x:row>
    <x:row r="120">
      <x:c r="A120" s="1" t="n">
        <x:v>23</x:v>
      </x:c>
      <x:c r="B120" s="1" t="n">
        <x:v>60</x:v>
      </x:c>
      <x:c r="C120" s="1"/>
      <x:c r="D120" s="1" t="n">
        <x:v>300</x:v>
      </x:c>
      <x:c r="E120" s="1" t="str">
        <x:v>S0039</x:v>
      </x:c>
      <x:c r="F120" s="1" t="str">
        <x:v> 2026-06-14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>
      <x:c r="A121" s="1" t="n">
        <x:v>35</x:v>
      </x:c>
      <x:c r="B121" s="1" t="n">
        <x:v>30</x:v>
      </x:c>
      <x:c r="C121" s="1"/>
      <x:c r="D121" s="1" t="n">
        <x:v>150</x:v>
      </x:c>
      <x:c r="E121" s="1" t="str">
        <x:v>S0041</x:v>
      </x:c>
      <x:c r="F121" s="1" t="str">
        <x:v>2027-5-20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>
      <x:c r="A122" s="1" t="n">
        <x:v>35</x:v>
      </x:c>
      <x:c r="B122" s="1" t="n">
        <x:v>30</x:v>
      </x:c>
      <x:c r="C122" s="1"/>
      <x:c r="D122" s="1" t="n">
        <x:v>150</x:v>
      </x:c>
      <x:c r="E122" s="1" t="str">
        <x:v>S0041</x:v>
      </x:c>
      <x:c r="F122" s="1" t="str">
        <x:v>27170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>
      <x:c r="A123" s="1" t="n">
        <x:v>29</x:v>
      </x:c>
      <x:c r="B123" s="1" t="n">
        <x:v>60</x:v>
      </x:c>
      <x:c r="C123" s="1"/>
      <x:c r="D123" s="1" t="n">
        <x:v>300</x:v>
      </x:c>
      <x:c r="E123" s="1" t="str">
        <x:v>S0042</x:v>
      </x:c>
      <x:c r="F123" s="3" t="d">
        <x:v>2027-05-20T00:00:00.000Z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>
      <x:c r="A124" s="1" t="n">
        <x:v>41</x:v>
      </x:c>
      <x:c r="B124" s="1" t="n">
        <x:v>60</x:v>
      </x:c>
      <x:c r="C124" s="1"/>
      <x:c r="D124" s="1" t="n">
        <x:v>300</x:v>
      </x:c>
      <x:c r="E124" s="1" t="str">
        <x:v>S0042</x:v>
      </x:c>
      <x:c r="F124" s="1" t="str">
        <x:v> 2027-05-20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>
      <x:c r="A125" s="1" t="n">
        <x:v>29</x:v>
      </x:c>
      <x:c r="B125" s="1" t="n">
        <x:v>60</x:v>
      </x:c>
      <x:c r="C125" s="1"/>
      <x:c r="D125" s="1" t="n">
        <x:v>300</x:v>
      </x:c>
      <x:c r="E125" s="1" t="str">
        <x:v>S0042</x:v>
      </x:c>
      <x:c r="F125" s="1" t="str">
        <x:v>2027-6-19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  <x:row r="126">
      <x:c r="A126" s="1" t="n">
        <x:v>41</x:v>
      </x:c>
      <x:c r="B126" s="1" t="n">
        <x:v>60</x:v>
      </x:c>
      <x:c r="C126" s="1"/>
      <x:c r="D126" s="1" t="n">
        <x:v>300</x:v>
      </x:c>
      <x:c r="E126" s="1" t="str">
        <x:v>S0042</x:v>
      </x:c>
      <x:c r="F126" s="1" t="str">
        <x:v>27170</x:v>
      </x:c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>
      <x:c r="A128" s="1" t="str">
        <x:v>! Section</x:v>
      </x:c>
      <x:c r="B128" s="1" t="str">
        <x:v>Fertilization_treatments</x:v>
      </x:c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</x:row>
    <x:row r="129">
      <x:c r="A129" s="1" t="str">
        <x:v>! Definitions</x:v>
      </x:c>
      <x:c r="B129" s="1" t="str">
        <x:v>Unique identifier for a fertilization treatment</x:v>
      </x:c>
      <x:c r="C129" s="1"/>
      <x:c r="D129" s="1" t="str">
        <x:v>Indicates whether or not fertilizer was applied (Y or N)</x:v>
      </x:c>
      <x:c r="E129" s="1" t="str">
        <x:v>Fertilizer, total amount over season</x:v>
      </x:c>
      <x:c r="F129" s="1" t="str">
        <x:v>Nitrogen, total amount over season, as elemental N</x:v>
      </x:c>
      <x:c r="G129" s="1" t="str">
        <x:v>Total number of fertilizer applications over season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>
      <x:c r="A130" s="1" t="str">
        <x:v>! Units</x:v>
      </x:c>
      <x:c r="B130" s="1" t="str">
        <x:v>text</x:v>
      </x:c>
      <x:c r="C130" s="1"/>
      <x:c r="D130" s="1" t="str">
        <x:v>code</x:v>
      </x:c>
      <x:c r="E130" s="1" t="str">
        <x:v>kg[fertilizer]/ha</x:v>
      </x:c>
      <x:c r="F130" s="1" t="str">
        <x:v>kg[N]/ha</x:v>
      </x:c>
      <x:c r="G130" s="1" t="str">
        <x:v>number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>
      <x:c r="A131" s="2" t="str">
        <x:v>#</x:v>
      </x:c>
      <x:c r="B131" s="2" t="str">
        <x:v>FERTTRTI</x:v>
      </x:c>
      <x:c r="C131" s="2"/>
      <x:c r="D131" s="2" t="str">
        <x:v>FERTILIZER</x:v>
      </x:c>
      <x:c r="E131" s="2" t="str">
        <x:v>fe_tot</x:v>
      </x:c>
      <x:c r="F131" s="2" t="str">
        <x:v>FEN_TOT</x:v>
      </x:c>
      <x:c r="G131" s="2" t="str">
        <x:v> OE_# </x:v>
      </x:c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</x:row>
    <x:row r="132">
      <x:c r="A132" s="1" t="n">
        <x:v>17</x:v>
      </x:c>
      <x:c r="B132" s="1" t="str">
        <x:v>S0038</x:v>
      </x:c>
      <x:c r="C132" s="1"/>
      <x:c r="D132" s="1" t="str">
        <x:v>Yes</x:v>
      </x:c>
      <x:c r="E132" s="1" t="n">
        <x:v>300</x:v>
      </x:c>
      <x:c r="F132" s="1" t="n">
        <x:v>60</x:v>
      </x:c>
      <x:c r="G132" s="1" t="n">
        <x:v>2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</x:row>
    <x:row r="133">
      <x:c r="A133" s="1" t="n">
        <x:v>11</x:v>
      </x:c>
      <x:c r="B133" s="1" t="str">
        <x:v>S0039</x:v>
      </x:c>
      <x:c r="C133" s="1"/>
      <x:c r="D133" s="1" t="str">
        <x:v>Yes</x:v>
      </x:c>
      <x:c r="E133" s="1"/>
      <x:c r="F133" s="1" t="n">
        <x:v>120</x:v>
      </x:c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>
      <x:c r="A134" s="1" t="n">
        <x:v>23</x:v>
      </x:c>
      <x:c r="B134" s="1" t="str">
        <x:v>S0039</x:v>
      </x:c>
      <x:c r="C134" s="1"/>
      <x:c r="D134" s="1" t="str">
        <x:v>Yes</x:v>
      </x:c>
      <x:c r="E134" s="1"/>
      <x:c r="F134" s="1" t="n">
        <x:v>120</x:v>
      </x:c>
      <x:c r="G134" s="1" t="str">
        <x:v>-99.0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</x:row>
    <x:row r="135">
      <x:c r="A135" s="1" t="n">
        <x:v>35</x:v>
      </x:c>
      <x:c r="B135" s="1" t="str">
        <x:v>S0041</x:v>
      </x:c>
      <x:c r="C135" s="1"/>
      <x:c r="D135" s="1" t="str">
        <x:v>Yes</x:v>
      </x:c>
      <x:c r="E135" s="1" t="n">
        <x:v>300</x:v>
      </x:c>
      <x:c r="F135" s="1" t="n">
        <x:v>60</x:v>
      </x:c>
      <x:c r="G135" s="1" t="n">
        <x:v>2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>
      <x:c r="A136" s="1" t="n">
        <x:v>29</x:v>
      </x:c>
      <x:c r="B136" s="1" t="str">
        <x:v>S0042</x:v>
      </x:c>
      <x:c r="C136" s="1"/>
      <x:c r="D136" s="1" t="str">
        <x:v>Yes</x:v>
      </x:c>
      <x:c r="E136" s="1"/>
      <x:c r="F136" s="1" t="n">
        <x:v>120</x:v>
      </x:c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>
      <x:c r="A137" s="1" t="n">
        <x:v>41</x:v>
      </x:c>
      <x:c r="B137" s="1" t="str">
        <x:v>S0042</x:v>
      </x:c>
      <x:c r="C137" s="1"/>
      <x:c r="D137" s="1" t="str">
        <x:v>Yes</x:v>
      </x:c>
      <x:c r="E137" s="1"/>
      <x:c r="F137" s="1" t="n">
        <x:v>120</x:v>
      </x:c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>
      <x:c r="A139" s="1" t="str">
        <x:v>! Section</x:v>
      </x:c>
      <x:c r="B139" s="1" t="str">
        <x:v>Harvest_event_treatments</x:v>
      </x:c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>
      <x:c r="A140" s="1" t="str">
        <x:v>! Definitions</x:v>
      </x:c>
      <x:c r="B140" s="1" t="str">
        <x:v>Unique identifier for a harvest treatment</x:v>
      </x:c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  <x:row r="141">
      <x:c r="A141" s="1" t="str">
        <x:v>! Units</x:v>
      </x:c>
      <x:c r="B141" s="1" t="str">
        <x:v>text</x:v>
      </x:c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</x:row>
    <x:row r="142">
      <x:c r="A142" s="2" t="str">
        <x:v>#</x:v>
      </x:c>
      <x:c r="B142" s="2" t="str">
        <x:v>HARVTRTI</x:v>
      </x:c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</x:row>
    <x:row r="143">
      <x:c r="A143" s="1" t="n">
        <x:v>11</x:v>
      </x:c>
      <x:c r="B143" s="1" t="str">
        <x:v>S0059</x:v>
      </x:c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</x:row>
    <x:row r="144">
      <x:c r="A144" s="1" t="n">
        <x:v>17</x:v>
      </x:c>
      <x:c r="B144" s="1" t="str">
        <x:v>S0059</x:v>
      </x:c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</x:row>
    <x:row r="145">
      <x:c r="A145" s="1" t="n">
        <x:v>23</x:v>
      </x:c>
      <x:c r="B145" s="1" t="str">
        <x:v>S0059</x:v>
      </x:c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</x:row>
    <x:row r="146">
      <x:c r="A146" s="1" t="n">
        <x:v>29</x:v>
      </x:c>
      <x:c r="B146" s="1" t="str">
        <x:v>S0060</x:v>
      </x:c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</x:row>
    <x:row r="147">
      <x:c r="A147" s="1" t="n">
        <x:v>35</x:v>
      </x:c>
      <x:c r="B147" s="1" t="str">
        <x:v>S0060</x:v>
      </x:c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</x:row>
    <x:row r="148">
      <x:c r="A148" s="1" t="n">
        <x:v>41</x:v>
      </x:c>
      <x:c r="B148" s="1" t="str">
        <x:v>S0060</x:v>
      </x:c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</x:row>
    <x:row r="150">
      <x:c r="A150" s="1" t="str">
        <x:v>! Section</x:v>
      </x:c>
      <x:c r="B150" s="1" t="str">
        <x:v>Harvest_events</x:v>
      </x:c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</x:row>
    <x:row r="151">
      <x:c r="A151" s="1" t="str">
        <x:v>! Definitions</x:v>
      </x:c>
      <x:c r="B151" s="1" t="str">
        <x:v>Harvest operations date; use YYYY-MM-DD.</x:v>
      </x:c>
      <x:c r="C151" s="1"/>
      <x:c r="D151" s="1" t="str">
        <x:v>Identifier of the harvest treatment associated with the event</x:v>
      </x:c>
      <x:c r="E151" s="1" t="str">
        <x:v>Harvest operations, crop component harvested</x:v>
      </x:c>
      <x:c r="F151" s="1" t="str">
        <x:v>Harvest method</x:v>
      </x:c>
      <x:c r="G151" s="1" t="str">
        <x:v>Harvest, height of cut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</x:row>
    <x:row r="152">
      <x:c r="A152" s="1" t="str">
        <x:v>! Units</x:v>
      </x:c>
      <x:c r="B152" s="1" t="str">
        <x:v>date</x:v>
      </x:c>
      <x:c r="C152" s="1"/>
      <x:c r="D152" s="1" t="str">
        <x:v>text</x:v>
      </x:c>
      <x:c r="E152" s="1" t="str">
        <x:v>code</x:v>
      </x:c>
      <x:c r="F152" s="1" t="str">
        <x:v>code</x:v>
      </x:c>
      <x:c r="G152" s="1" t="str">
        <x:v>cm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</x:row>
    <x:row r="153">
      <x:c r="A153" s="2" t="str">
        <x:v>%</x:v>
      </x:c>
      <x:c r="B153" s="2" t="str">
        <x:v>HADAT</x:v>
      </x:c>
      <x:c r="C153" s="2"/>
      <x:c r="D153" s="2" t="str">
        <x:v>HARVT_HE</x:v>
      </x:c>
      <x:c r="E153" s="2" t="str">
        <x:v>hacom</x:v>
      </x:c>
      <x:c r="F153" s="2" t="str">
        <x:v>HARM</x:v>
      </x:c>
      <x:c r="G153" s="2" t="str">
        <x:v> HAHT </x:v>
      </x:c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</x:row>
    <x:row r="154">
      <x:c r="A154" s="1" t="n">
        <x:v>11</x:v>
      </x:c>
      <x:c r="B154" s="3" t="d">
        <x:v>2026-09-02T00:00:00.000Z</x:v>
      </x:c>
      <x:c r="C154" s="1"/>
      <x:c r="D154" s="1" t="str">
        <x:v>S0059</x:v>
      </x:c>
      <x:c r="E154" s="1" t="str">
        <x:v>canopy</x:v>
      </x:c>
      <x:c r="F154" s="1" t="str">
        <x:v>UNKNOWN</x:v>
      </x:c>
      <x:c r="G154" s="1" t="n">
        <x:v>15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</x:row>
    <x:row r="155">
      <x:c r="A155" s="1" t="n">
        <x:v>17</x:v>
      </x:c>
      <x:c r="B155" s="1" t="str">
        <x:v> 2026-09-02</x:v>
      </x:c>
      <x:c r="C155" s="1"/>
      <x:c r="D155" s="1" t="str">
        <x:v>S0059</x:v>
      </x:c>
      <x:c r="E155" s="1" t="str">
        <x:v>canopy</x:v>
      </x:c>
      <x:c r="F155" s="1" t="str">
        <x:v>N/A</x:v>
      </x:c>
      <x:c r="G155" s="1" t="n">
        <x:v>15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</x:row>
    <x:row r="156">
      <x:c r="A156" s="1" t="n">
        <x:v>23</x:v>
      </x:c>
      <x:c r="B156" s="1" t="str">
        <x:v>2026-9-2</x:v>
      </x:c>
      <x:c r="C156" s="1"/>
      <x:c r="D156" s="1" t="str">
        <x:v>S0059</x:v>
      </x:c>
      <x:c r="E156" s="1" t="str">
        <x:v>canopy</x:v>
      </x:c>
      <x:c r="F156" s="1"/>
      <x:c r="G156" s="1" t="n">
        <x:v>15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</x:row>
    <x:row r="157">
      <x:c r="A157" s="1" t="n">
        <x:v>29</x:v>
      </x:c>
      <x:c r="B157" s="1" t="str">
        <x:v>27260</x:v>
      </x:c>
      <x:c r="C157" s="1"/>
      <x:c r="D157" s="1" t="str">
        <x:v>S0060</x:v>
      </x:c>
      <x:c r="E157" s="1" t="str">
        <x:v>grain</x:v>
      </x:c>
      <x:c r="F157" s="1" t="str">
        <x:v>Hand cut, hand threshed</x:v>
      </x:c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</x:row>
    <x:row r="158">
      <x:c r="A158" s="1" t="n">
        <x:v>35</x:v>
      </x:c>
      <x:c r="B158" s="3" t="d">
        <x:v>2027-09-17T00:00:00.000Z</x:v>
      </x:c>
      <x:c r="C158" s="1"/>
      <x:c r="D158" s="1" t="str">
        <x:v>S0060</x:v>
      </x:c>
      <x:c r="E158" s="1" t="str">
        <x:v>grain</x:v>
      </x:c>
      <x:c r="F158" s="1" t="str">
        <x:v>Hand cut, hand threshed</x:v>
      </x:c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</x:row>
    <x:row r="159">
      <x:c r="A159" s="1" t="n">
        <x:v>41</x:v>
      </x:c>
      <x:c r="B159" s="1" t="str">
        <x:v> 2027-09-17</x:v>
      </x:c>
      <x:c r="C159" s="1"/>
      <x:c r="D159" s="1" t="str">
        <x:v>S0060</x:v>
      </x:c>
      <x:c r="E159" s="1" t="str">
        <x:v>grain</x:v>
      </x:c>
      <x:c r="F159" s="1" t="str">
        <x:v>Hand cut, hand threshed</x:v>
      </x:c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</x:row>
    <x:row r="161">
      <x:c r="A161" s="1" t="str">
        <x:v>! Section</x:v>
      </x:c>
      <x:c r="B161" s="1" t="str">
        <x:v>Initial_conditions</x:v>
      </x:c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</x:row>
    <x:row r="162">
      <x:c r="A162" s="1" t="str">
        <x:v>! Definitions</x:v>
      </x:c>
      <x:c r="B162" s="1" t="str">
        <x:v>Initial profile inorganic nitrogen amount</x:v>
      </x:c>
      <x:c r="C162" s="1"/>
      <x:c r="D162" s="1" t="str">
        <x:v>Initial water content of entire profile, expressed as percent of available water</x:v>
      </x:c>
      <x:c r="E162" s="1" t="str">
        <x:v>Residue above-ground weight, dry weight basis</x:v>
      </x:c>
      <x:c r="F162" s="1" t="str">
        <x:v>Unique identifier for an initial conditions treatment</x:v>
      </x:c>
      <x:c r="G162" s="1" t="str">
        <x:v>Initial conditions measurement date; use YYYY-MM-DD.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</x:row>
    <x:row r="163">
      <x:c r="A163" s="1" t="str">
        <x:v>! Units</x:v>
      </x:c>
      <x:c r="B163" s="1" t="str">
        <x:v>kg[N]/ha</x:v>
      </x:c>
      <x:c r="C163" s="1"/>
      <x:c r="D163" s="1" t="str">
        <x:v>%</x:v>
      </x:c>
      <x:c r="E163" s="1" t="str">
        <x:v>kg/ha</x:v>
      </x:c>
      <x:c r="F163" s="1" t="str">
        <x:v>text</x:v>
      </x:c>
      <x:c r="G163" s="1" t="str">
        <x:v>date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</x:row>
    <x:row r="164">
      <x:c r="A164" s="2" t="str">
        <x:v>%</x:v>
      </x:c>
      <x:c r="B164" s="2" t="str">
        <x:v> ICNI </x:v>
      </x:c>
      <x:c r="C164" s="2"/>
      <x:c r="D164" s="2" t="str">
        <x:v>ICSW%</x:v>
      </x:c>
      <x:c r="E164" s="2" t="str">
        <x:v>ircag</x:v>
      </x:c>
      <x:c r="F164" s="2" t="str">
        <x:v>INITCOND</x:v>
      </x:c>
      <x:c r="G164" s="2" t="str">
        <x:v>ICDAT</x:v>
      </x:c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</x:row>
    <x:row r="165">
      <x:c r="A165" s="1" t="n">
        <x:v>11</x:v>
      </x:c>
      <x:c r="B165" s="1" t="n">
        <x:v>44</x:v>
      </x:c>
      <x:c r="C165" s="1"/>
      <x:c r="D165" s="1" t="n">
        <x:v>75</x:v>
      </x:c>
      <x:c r="E165" s="1" t="str">
        <x:v>-99</x:v>
      </x:c>
      <x:c r="F165" s="1" t="str">
        <x:v>S0077</x:v>
      </x:c>
      <x:c r="G165" s="1" t="str">
        <x:v>2026-5-8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</x:row>
    <x:row r="166">
      <x:c r="A166" s="1" t="n">
        <x:v>17</x:v>
      </x:c>
      <x:c r="B166" s="1" t="n">
        <x:v>44</x:v>
      </x:c>
      <x:c r="C166" s="1"/>
      <x:c r="D166" s="1" t="n">
        <x:v>75</x:v>
      </x:c>
      <x:c r="E166" s="1"/>
      <x:c r="F166" s="1" t="str">
        <x:v>S0077</x:v>
      </x:c>
      <x:c r="G166" s="1" t="str">
        <x:v>26128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</x:row>
    <x:row r="167">
      <x:c r="A167" s="1" t="n">
        <x:v>23</x:v>
      </x:c>
      <x:c r="B167" s="1" t="n">
        <x:v>44</x:v>
      </x:c>
      <x:c r="C167" s="1"/>
      <x:c r="D167" s="1" t="n">
        <x:v>75</x:v>
      </x:c>
      <x:c r="E167" s="1"/>
      <x:c r="F167" s="1" t="str">
        <x:v>S0077</x:v>
      </x:c>
      <x:c r="G167" s="3" t="d">
        <x:v>2026-05-08T00:00:00.000Z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</x:row>
    <x:row r="168">
      <x:c r="A168" s="1" t="n">
        <x:v>29</x:v>
      </x:c>
      <x:c r="B168" s="1" t="n">
        <x:v>46</x:v>
      </x:c>
      <x:c r="C168" s="1"/>
      <x:c r="D168" s="1" t="n">
        <x:v>77</x:v>
      </x:c>
      <x:c r="E168" s="1"/>
      <x:c r="F168" s="1" t="str">
        <x:v>S0078</x:v>
      </x:c>
      <x:c r="G168" s="1" t="str">
        <x:v> 2027-04-18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</x:row>
    <x:row r="169">
      <x:c r="A169" s="1" t="n">
        <x:v>35</x:v>
      </x:c>
      <x:c r="B169" s="1" t="n">
        <x:v>46</x:v>
      </x:c>
      <x:c r="C169" s="1"/>
      <x:c r="D169" s="1" t="n">
        <x:v>77</x:v>
      </x:c>
      <x:c r="E169" s="1"/>
      <x:c r="F169" s="1" t="str">
        <x:v>S0078</x:v>
      </x:c>
      <x:c r="G169" s="1" t="str">
        <x:v>2027-4-18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</x:row>
    <x:row r="170">
      <x:c r="A170" s="1" t="n">
        <x:v>41</x:v>
      </x:c>
      <x:c r="B170" s="1" t="n">
        <x:v>46</x:v>
      </x:c>
      <x:c r="C170" s="1"/>
      <x:c r="D170" s="1" t="n">
        <x:v>77</x:v>
      </x:c>
      <x:c r="E170" s="1"/>
      <x:c r="F170" s="1" t="str">
        <x:v>S0078</x:v>
      </x:c>
      <x:c r="G170" s="1" t="str">
        <x:v>27108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</x:row>
    <x:row r="172">
      <x:c r="A172" s="1" t="str">
        <x:v>! Section</x:v>
      </x:c>
      <x:c r="B172" s="1" t="str">
        <x:v>Initial_conditions_layer</x:v>
      </x:c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</x:row>
    <x:row r="173">
      <x:c r="A173" s="1" t="str">
        <x:v>! Definitions</x:v>
      </x:c>
      <x:c r="B173" s="1" t="str">
        <x:v>Initial conditions measurement date; use YYYY-MM-DD.</x:v>
      </x:c>
      <x:c r="C173" s="1"/>
      <x:c r="D173" s="1" t="str">
        <x:v>Identifier of the initial conditions treatment associated with the soil layer</x:v>
      </x:c>
      <x:c r="E173" s="1" t="str">
        <x:v>Soil layer depth to upper boundary of sample (top)</x:v>
      </x:c>
      <x:c r="F173" s="1" t="str">
        <x:v>Soil layer depth to lower boundary of sample (bottom)</x:v>
      </x:c>
      <x:c r="G173" s="1" t="str">
        <x:v>One or more represented plot_season_id values for this observation or layer row. Use a single ID for a single plot-season; use multiple IDs only for a broader observation. The API stores the trimmed, duplicate-free list in lexicographic order.</x:v>
      </x:c>
      <x:c r="H173" s="1" t="str">
        <x:v>Initial water concentration by layer</x:v>
      </x:c>
      <x:c r="I173" s="1" t="str">
        <x:v>Initial NO3 conc., as elemental N on dry wt. basis, by layer</x:v>
      </x:c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</x:row>
    <x:row r="174">
      <x:c r="A174" s="1" t="str">
        <x:v>! Units</x:v>
      </x:c>
      <x:c r="B174" s="1" t="str">
        <x:v>date</x:v>
      </x:c>
      <x:c r="C174" s="1"/>
      <x:c r="D174" s="1" t="str">
        <x:v>text</x:v>
      </x:c>
      <x:c r="E174" s="1" t="str">
        <x:v>cm</x:v>
      </x:c>
      <x:c r="F174" s="1" t="str">
        <x:v>cm</x:v>
      </x:c>
      <x:c r="G174" s="1" t="str">
        <x:v>text</x:v>
      </x:c>
      <x:c r="H174" s="1" t="str">
        <x:v>unitless</x:v>
      </x:c>
      <x:c r="I174" s="1" t="str">
        <x:v>ppm</x:v>
      </x:c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</x:row>
    <x:row r="175">
      <x:c r="A175" s="2" t="str">
        <x:v>%</x:v>
      </x:c>
      <x:c r="B175" s="2" t="str">
        <x:v>ICDAT</x:v>
      </x:c>
      <x:c r="C175" s="2"/>
      <x:c r="D175" s="2" t="str">
        <x:v>INIT_ICL</x:v>
      </x:c>
      <x:c r="E175" s="2" t="str">
        <x:v>sldub</x:v>
      </x:c>
      <x:c r="F175" s="2" t="str">
        <x:v>SLDLB</x:v>
      </x:c>
      <x:c r="G175" s="2" t="str">
        <x:v> GRPP_ICL </x:v>
      </x:c>
      <x:c r="H175" s="2" t="str">
        <x:v>ich2o</x:v>
      </x:c>
      <x:c r="I175" s="2" t="str">
        <x:v>ICNO3</x:v>
      </x:c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</x:row>
    <x:row r="176">
      <x:c r="A176" s="1" t="n">
        <x:v>11</x:v>
      </x:c>
      <x:c r="B176" s="3" t="d">
        <x:v>2026-05-08T00:00:00.000Z</x:v>
      </x:c>
      <x:c r="C176" s="1"/>
      <x:c r="D176" s="1" t="str">
        <x:v>S0077</x:v>
      </x:c>
      <x:c r="E176" s="1" t="n">
        <x:v>0</x:v>
      </x:c>
      <x:c r="F176" s="1" t="n">
        <x:v>20</x:v>
      </x:c>
      <x:c r="G176" s="1" t="str">
        <x:v>11;17;23</x:v>
      </x:c>
      <x:c r="H176" s="1" t="n">
        <x:v>0.255</x:v>
      </x:c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</x:row>
    <x:row r="177">
      <x:c r="A177" s="1" t="n">
        <x:v>11</x:v>
      </x:c>
      <x:c r="B177" s="1" t="str">
        <x:v> 2026-05-08</x:v>
      </x:c>
      <x:c r="C177" s="1"/>
      <x:c r="D177" s="1" t="str">
        <x:v>S0077</x:v>
      </x:c>
      <x:c r="E177" s="1" t="n">
        <x:v>20</x:v>
      </x:c>
      <x:c r="F177" s="1" t="n">
        <x:v>40</x:v>
      </x:c>
      <x:c r="G177" s="1" t="str">
        <x:v>11;17;23</x:v>
      </x:c>
      <x:c r="H177" s="1" t="n">
        <x:v>0.265</x:v>
      </x:c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</x:row>
    <x:row r="178">
      <x:c r="A178" s="1" t="n">
        <x:v>29</x:v>
      </x:c>
      <x:c r="B178" s="1" t="str">
        <x:v>2027-4-18</x:v>
      </x:c>
      <x:c r="C178" s="1"/>
      <x:c r="D178" s="1" t="str">
        <x:v>S0078</x:v>
      </x:c>
      <x:c r="E178" s="1" t="n">
        <x:v>0</x:v>
      </x:c>
      <x:c r="F178" s="1" t="n">
        <x:v>20</x:v>
      </x:c>
      <x:c r="G178" s="1" t="str">
        <x:v>29;35;41</x:v>
      </x:c>
      <x:c r="H178" s="1" t="n">
        <x:v>0.26</x:v>
      </x:c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</x:row>
    <x:row r="179">
      <x:c r="A179" s="1" t="n">
        <x:v>29</x:v>
      </x:c>
      <x:c r="B179" s="1" t="str">
        <x:v>27108</x:v>
      </x:c>
      <x:c r="C179" s="1"/>
      <x:c r="D179" s="1" t="str">
        <x:v>S0078</x:v>
      </x:c>
      <x:c r="E179" s="1" t="n">
        <x:v>20</x:v>
      </x:c>
      <x:c r="F179" s="1" t="n">
        <x:v>40</x:v>
      </x:c>
      <x:c r="G179" s="1" t="str">
        <x:v>29;35;41</x:v>
      </x:c>
      <x:c r="H179" s="1" t="n">
        <x:v>0.27</x:v>
      </x:c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</x:row>
    <x:row r="181">
      <x:c r="A181" s="1" t="str">
        <x:v>! Section</x:v>
      </x:c>
      <x:c r="B181" s="1" t="str">
        <x:v>Irrigation_events</x:v>
      </x:c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</x:row>
    <x:row r="182">
      <x:c r="A182" s="1" t="str">
        <x:v>! Definitions</x:v>
      </x:c>
      <x:c r="B182" s="1" t="str">
        <x:v>Irrigation operation (e.g., furrow, sprinkler, drip__)</x:v>
      </x:c>
      <x:c r="C182" s="1"/>
      <x:c r="D182" s="1" t="str">
        <x:v>Irrigation amount, depth of water</x:v>
      </x:c>
      <x:c r="E182" s="1" t="str">
        <x:v>Identifier of the irrigation treatment associated with the event</x:v>
      </x:c>
      <x:c r="F182" s="1" t="str">
        <x:v>Irrigation date; use YYYY-MM-DD.</x:v>
      </x:c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</x:row>
    <x:row r="183">
      <x:c r="A183" s="1" t="str">
        <x:v>! Units</x:v>
      </x:c>
      <x:c r="B183" s="1" t="str">
        <x:v>code</x:v>
      </x:c>
      <x:c r="C183" s="1"/>
      <x:c r="D183" s="1" t="str">
        <x:v>mm</x:v>
      </x:c>
      <x:c r="E183" s="1" t="str">
        <x:v>text</x:v>
      </x:c>
      <x:c r="F183" s="1" t="str">
        <x:v>date</x:v>
      </x:c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</x:row>
    <x:row r="184">
      <x:c r="A184" s="2" t="str">
        <x:v>%</x:v>
      </x:c>
      <x:c r="B184" s="2" t="str">
        <x:v>IROP</x:v>
      </x:c>
      <x:c r="C184" s="2"/>
      <x:c r="D184" s="2" t="str">
        <x:v>irval</x:v>
      </x:c>
      <x:c r="E184" s="2" t="str">
        <x:v>IRRT_IRE</x:v>
      </x:c>
      <x:c r="F184" s="2" t="str">
        <x:v>IDATE</x:v>
      </x:c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</x:row>
    <x:row r="185">
      <x:c r="A185" s="1" t="n">
        <x:v>17</x:v>
      </x:c>
      <x:c r="B185" s="1" t="str">
        <x:v>Alternating furrows, mm</x:v>
      </x:c>
      <x:c r="C185" s="1"/>
      <x:c r="D185" s="1" t="n">
        <x:v>20</x:v>
      </x:c>
      <x:c r="E185" s="1" t="str">
        <x:v>S0082</x:v>
      </x:c>
      <x:c r="F185" s="3" t="d">
        <x:v>2026-05-29T00:00:00.000Z</x:v>
      </x:c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</x:row>
    <x:row r="186">
      <x:c r="A186" s="1" t="n">
        <x:v>23</x:v>
      </x:c>
      <x:c r="B186" s="1" t="str">
        <x:v>Alternating furrows, mm</x:v>
      </x:c>
      <x:c r="C186" s="1"/>
      <x:c r="D186" s="1" t="n">
        <x:v>20</x:v>
      </x:c>
      <x:c r="E186" s="1" t="str">
        <x:v>S0082</x:v>
      </x:c>
      <x:c r="F186" s="1" t="str">
        <x:v> 2026-05-29</x:v>
      </x:c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</x:row>
    <x:row r="187">
      <x:c r="A187" s="1" t="n">
        <x:v>17</x:v>
      </x:c>
      <x:c r="B187" s="1" t="str">
        <x:v>Alternating furrows, mm</x:v>
      </x:c>
      <x:c r="C187" s="1"/>
      <x:c r="D187" s="1" t="n">
        <x:v>25</x:v>
      </x:c>
      <x:c r="E187" s="1" t="str">
        <x:v>S0082</x:v>
      </x:c>
      <x:c r="F187" s="1" t="str">
        <x:v>2026-6-19</x:v>
      </x:c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</x:row>
    <x:row r="188">
      <x:c r="A188" s="1" t="n">
        <x:v>23</x:v>
      </x:c>
      <x:c r="B188" s="1" t="str">
        <x:v>Alternating furrows, mm</x:v>
      </x:c>
      <x:c r="C188" s="1"/>
      <x:c r="D188" s="1" t="n">
        <x:v>25</x:v>
      </x:c>
      <x:c r="E188" s="1" t="str">
        <x:v>S0082</x:v>
      </x:c>
      <x:c r="F188" s="1" t="str">
        <x:v>26170</x:v>
      </x:c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</x:row>
    <x:row r="189">
      <x:c r="A189" s="1" t="n">
        <x:v>35</x:v>
      </x:c>
      <x:c r="B189" s="1" t="str">
        <x:v>Flood, mm</x:v>
      </x:c>
      <x:c r="C189" s="1"/>
      <x:c r="D189" s="1" t="n">
        <x:v>20</x:v>
      </x:c>
      <x:c r="E189" s="1" t="str">
        <x:v>S0083</x:v>
      </x:c>
      <x:c r="F189" s="3" t="d">
        <x:v>2027-05-25T00:00:00.000Z</x:v>
      </x:c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</x:row>
    <x:row r="190">
      <x:c r="A190" s="1" t="n">
        <x:v>41</x:v>
      </x:c>
      <x:c r="B190" s="1" t="str">
        <x:v>Flood, mm</x:v>
      </x:c>
      <x:c r="C190" s="1"/>
      <x:c r="D190" s="1" t="n">
        <x:v>20</x:v>
      </x:c>
      <x:c r="E190" s="1" t="str">
        <x:v>S0083</x:v>
      </x:c>
      <x:c r="F190" s="1" t="str">
        <x:v> 2027-05-25</x:v>
      </x:c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</x:row>
    <x:row r="191">
      <x:c r="A191" s="1" t="n">
        <x:v>35</x:v>
      </x:c>
      <x:c r="B191" s="1" t="str">
        <x:v>Flood, mm</x:v>
      </x:c>
      <x:c r="C191" s="1"/>
      <x:c r="D191" s="1" t="n">
        <x:v>30</x:v>
      </x:c>
      <x:c r="E191" s="1" t="str">
        <x:v>S0083</x:v>
      </x:c>
      <x:c r="F191" s="1" t="str">
        <x:v>2027-6-7</x:v>
      </x:c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</x:row>
    <x:row r="192">
      <x:c r="A192" s="1" t="n">
        <x:v>41</x:v>
      </x:c>
      <x:c r="B192" s="1" t="str">
        <x:v>Flood, mm</x:v>
      </x:c>
      <x:c r="C192" s="1"/>
      <x:c r="D192" s="1" t="n">
        <x:v>30</x:v>
      </x:c>
      <x:c r="E192" s="1" t="str">
        <x:v>S0083</x:v>
      </x:c>
      <x:c r="F192" s="1" t="str">
        <x:v>27158</x:v>
      </x:c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</x:row>
    <x:row r="193">
      <x:c r="A193" s="1" t="n">
        <x:v>35</x:v>
      </x:c>
      <x:c r="B193" s="1" t="str">
        <x:v>Flood, mm</x:v>
      </x:c>
      <x:c r="C193" s="1"/>
      <x:c r="D193" s="1" t="n">
        <x:v>25</x:v>
      </x:c>
      <x:c r="E193" s="1" t="str">
        <x:v>S0083</x:v>
      </x:c>
      <x:c r="F193" s="3" t="d">
        <x:v>2027-06-21T00:00:00.000Z</x:v>
      </x:c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</x:row>
    <x:row r="194">
      <x:c r="A194" s="1" t="n">
        <x:v>41</x:v>
      </x:c>
      <x:c r="B194" s="1" t="str">
        <x:v>Flood, mm</x:v>
      </x:c>
      <x:c r="C194" s="1"/>
      <x:c r="D194" s="1" t="n">
        <x:v>25</x:v>
      </x:c>
      <x:c r="E194" s="1" t="str">
        <x:v>S0083</x:v>
      </x:c>
      <x:c r="F194" s="1" t="str">
        <x:v> 2027-06-21</x:v>
      </x:c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</x:row>
    <x:row r="196">
      <x:c r="A196" s="1" t="str">
        <x:v>! Section</x:v>
      </x:c>
      <x:c r="B196" s="1" t="str">
        <x:v>Irrigation_treatments</x:v>
      </x:c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</x:row>
    <x:row r="197">
      <x:c r="A197" s="1" t="str">
        <x:v>! Definitions</x:v>
      </x:c>
      <x:c r="B197" s="1" t="str">
        <x:v>Unique identifier for an irrigation treatment</x:v>
      </x:c>
      <x:c r="C197" s="1"/>
      <x:c r="D197" s="1" t="str">
        <x:v>Indicates whether or not the field was irrigated</x:v>
      </x:c>
      <x:c r="E197" s="1" t="str">
        <x:v>Irrigation, total amount over season</x:v>
      </x:c>
      <x:c r="F197" s="1" t="str">
        <x:v>Irrigation applications, total number at end season</x:v>
      </x:c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</x:row>
    <x:row r="198">
      <x:c r="A198" s="1" t="str">
        <x:v>! Units</x:v>
      </x:c>
      <x:c r="B198" s="1" t="str">
        <x:v>text</x:v>
      </x:c>
      <x:c r="C198" s="1"/>
      <x:c r="D198" s="1" t="str">
        <x:v>code</x:v>
      </x:c>
      <x:c r="E198" s="1" t="str">
        <x:v>mm</x:v>
      </x:c>
      <x:c r="F198" s="1" t="str">
        <x:v>number</x:v>
      </x:c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</x:row>
    <x:row r="199">
      <x:c r="A199" s="2" t="str">
        <x:v>#</x:v>
      </x:c>
      <x:c r="B199" s="2" t="str">
        <x:v>IRRTRTID</x:v>
      </x:c>
      <x:c r="C199" s="2"/>
      <x:c r="D199" s="2" t="str">
        <x:v>IRRIG</x:v>
      </x:c>
      <x:c r="E199" s="2" t="str">
        <x:v>ir_tot</x:v>
      </x:c>
      <x:c r="F199" s="2" t="str">
        <x:v>IR_#</x:v>
      </x:c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</x:row>
    <x:row r="200">
      <x:c r="A200" s="1" t="n">
        <x:v>17</x:v>
      </x:c>
      <x:c r="B200" s="1" t="str">
        <x:v>S0082</x:v>
      </x:c>
      <x:c r="C200" s="1"/>
      <x:c r="D200" s="1" t="str">
        <x:v>Y</x:v>
      </x:c>
      <x:c r="E200" s="1"/>
      <x:c r="F200" s="1" t="n">
        <x:v>2</x:v>
      </x:c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</x:row>
    <x:row r="201">
      <x:c r="A201" s="1" t="n">
        <x:v>23</x:v>
      </x:c>
      <x:c r="B201" s="1" t="str">
        <x:v>S0082</x:v>
      </x:c>
      <x:c r="C201" s="1"/>
      <x:c r="D201" s="1" t="str">
        <x:v>Y</x:v>
      </x:c>
      <x:c r="E201" s="1"/>
      <x:c r="F201" s="1" t="n">
        <x:v>2</x:v>
      </x:c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</x:row>
    <x:row r="202">
      <x:c r="A202" s="1" t="n">
        <x:v>35</x:v>
      </x:c>
      <x:c r="B202" s="1" t="str">
        <x:v>S0083</x:v>
      </x:c>
      <x:c r="C202" s="1"/>
      <x:c r="D202" s="1" t="str">
        <x:v>Y</x:v>
      </x:c>
      <x:c r="E202" s="1" t="n">
        <x:v>75</x:v>
      </x:c>
      <x:c r="F202" s="1" t="n">
        <x:v>3</x:v>
      </x:c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</x:row>
    <x:row r="203">
      <x:c r="A203" s="1" t="n">
        <x:v>41</x:v>
      </x:c>
      <x:c r="B203" s="1" t="str">
        <x:v>S0083</x:v>
      </x:c>
      <x:c r="C203" s="1"/>
      <x:c r="D203" s="1" t="str">
        <x:v>Y</x:v>
      </x:c>
      <x:c r="E203" s="1" t="n">
        <x:v>75</x:v>
      </x:c>
      <x:c r="F203" s="1" t="n">
        <x:v>3</x:v>
      </x:c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</x:row>
    <x:row r="205">
      <x:c r="A205" s="1" t="str">
        <x:v>! Section</x:v>
      </x:c>
      <x:c r="B205" s="1" t="str">
        <x:v>Mulch_events</x:v>
      </x:c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</x:row>
    <x:row r="206">
      <x:c r="A206" s="1" t="str">
        <x:v>! Definitions</x:v>
      </x:c>
      <x:c r="B206" s="1" t="str">
        <x:v>Mulch color </x:v>
      </x:c>
      <x:c r="C206" s="1"/>
      <x:c r="D206" s="1" t="str">
        <x:v>Fraction of surface covered by mulch</x:v>
      </x:c>
      <x:c r="E206" s="1" t="str">
        <x:v>Mulch type by codes for soild polythelene sheet, net, etc. </x:v>
      </x:c>
      <x:c r="F206" s="1" t="str">
        <x:v>Mulch removal date; use YYYY-MM-DD.</x:v>
      </x:c>
      <x:c r="G206" s="1" t="str">
        <x:v>Identifier for the mulch treatment represented by the record</x:v>
      </x:c>
      <x:c r="H206" s="1" t="str">
        <x:v>Mulch application date; use YYYY-MM-DD.</x:v>
      </x:c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</x:row>
    <x:row r="207">
      <x:c r="A207" s="1" t="str">
        <x:v>! Units</x:v>
      </x:c>
      <x:c r="B207" s="1" t="str">
        <x:v>code</x:v>
      </x:c>
      <x:c r="C207" s="1"/>
      <x:c r="D207" s="1" t="str">
        <x:v>fraction</x:v>
      </x:c>
      <x:c r="E207" s="1" t="str">
        <x:v>code</x:v>
      </x:c>
      <x:c r="F207" s="1" t="str">
        <x:v>date</x:v>
      </x:c>
      <x:c r="G207" s="1" t="str">
        <x:v>text</x:v>
      </x:c>
      <x:c r="H207" s="1" t="str">
        <x:v>date</x:v>
      </x:c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</x:row>
    <x:row r="208">
      <x:c r="A208" s="2" t="str">
        <x:v>%</x:v>
      </x:c>
      <x:c r="B208" s="2" t="str">
        <x:v>mlcol</x:v>
      </x:c>
      <x:c r="C208" s="2"/>
      <x:c r="D208" s="2" t="str">
        <x:v> MLCOV </x:v>
      </x:c>
      <x:c r="E208" s="2" t="str">
        <x:v>MLTP</x:v>
      </x:c>
      <x:c r="F208" s="2" t="str">
        <x:v>mlrdat</x:v>
      </x:c>
      <x:c r="G208" s="2" t="str">
        <x:v>MULTRTID</x:v>
      </x:c>
      <x:c r="H208" s="2" t="str">
        <x:v>MLADAT</x:v>
      </x:c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</x:row>
    <x:row r="209">
      <x:c r="A209" s="1" t="n">
        <x:v>23</x:v>
      </x:c>
      <x:c r="B209" s="1" t="str">
        <x:v>MC001</x:v>
      </x:c>
      <x:c r="C209" s="1"/>
      <x:c r="D209" s="1"/>
      <x:c r="E209" s="1" t="str">
        <x:v>Photodegradable plastic</x:v>
      </x:c>
      <x:c r="F209" s="1" t="str">
        <x:v>26200</x:v>
      </x:c>
      <x:c r="G209" s="1" t="str">
        <x:v>S0089</x:v>
      </x:c>
      <x:c r="H209" s="1" t="str">
        <x:v>2026-5-16</x:v>
      </x:c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</x:row>
    <x:row r="210">
      <x:c r="A210" s="1" t="n">
        <x:v>41</x:v>
      </x:c>
      <x:c r="B210" s="1" t="str">
        <x:v>MC005</x:v>
      </x:c>
      <x:c r="C210" s="1"/>
      <x:c r="D210" s="1" t="str">
        <x:v>-99.0</x:v>
      </x:c>
      <x:c r="E210" s="1" t="str">
        <x:v>Paper</x:v>
      </x:c>
      <x:c r="F210" s="1" t="str">
        <x:v> 2027-07-24</x:v>
      </x:c>
      <x:c r="G210" s="1" t="str">
        <x:v>S0090</x:v>
      </x:c>
      <x:c r="H210" s="3" t="d">
        <x:v>2027-05-21T00:00:00.000Z</x:v>
      </x:c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</x:row>
    <x:row r="212">
      <x:c r="A212" s="1" t="str">
        <x:v>! Section</x:v>
      </x:c>
      <x:c r="B212" s="1" t="str">
        <x:v>Organic_material_application_events</x:v>
      </x:c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</x:row>
    <x:row r="213">
      <x:c r="A213" s="1" t="str">
        <x:v>! Definitions</x:v>
      </x:c>
      <x:c r="B213" s="1" t="str">
        <x:v>Organic materials application date; use YYYY-MM-DD.</x:v>
      </x:c>
      <x:c r="C213" s="1"/>
      <x:c r="D213" s="1" t="str">
        <x:v>Identifier of the organic material application treatment associated with the event</x:v>
      </x:c>
      <x:c r="E213" s="1" t="str">
        <x:v>Organic material, identifying code</x:v>
      </x:c>
      <x:c r="F213" s="1" t="str">
        <x:v>Organic materials application amount, dry weight basis</x:v>
      </x:c>
      <x:c r="G213" s="1" t="str">
        <x:v>Organic materials nitrogen concentration</x:v>
      </x:c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</x:row>
    <x:row r="214">
      <x:c r="A214" s="1" t="str">
        <x:v>! Units</x:v>
      </x:c>
      <x:c r="B214" s="1" t="str">
        <x:v>date</x:v>
      </x:c>
      <x:c r="C214" s="1"/>
      <x:c r="D214" s="1" t="str">
        <x:v>text</x:v>
      </x:c>
      <x:c r="E214" s="1" t="str">
        <x:v>code</x:v>
      </x:c>
      <x:c r="F214" s="1" t="str">
        <x:v>kg/ha</x:v>
      </x:c>
      <x:c r="G214" s="1" t="str">
        <x:v>%</x:v>
      </x:c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</x:row>
    <x:row r="215">
      <x:c r="A215" s="2" t="str">
        <x:v>%</x:v>
      </x:c>
      <x:c r="B215" s="2" t="str">
        <x:v>OMDAT</x:v>
      </x:c>
      <x:c r="C215" s="2"/>
      <x:c r="D215" s="2" t="str">
        <x:v>ORGM_OME</x:v>
      </x:c>
      <x:c r="E215" s="2" t="str">
        <x:v>omcd</x:v>
      </x:c>
      <x:c r="F215" s="2" t="str">
        <x:v>OMAMT</x:v>
      </x:c>
      <x:c r="G215" s="2" t="str">
        <x:v> OMN% </x:v>
      </x:c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</x:row>
    <x:row r="216">
      <x:c r="A216" s="1" t="n">
        <x:v>23</x:v>
      </x:c>
      <x:c r="B216" s="1" t="str">
        <x:v>2026-5-13</x:v>
      </x:c>
      <x:c r="C216" s="1"/>
      <x:c r="D216" s="1" t="str">
        <x:v>S0095</x:v>
      </x:c>
      <x:c r="E216" s="1" t="str">
        <x:v>RE004</x:v>
      </x:c>
      <x:c r="F216" s="1" t="n">
        <x:v>1800</x:v>
      </x:c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</x:row>
    <x:row r="217">
      <x:c r="A217" s="1" t="n">
        <x:v>41</x:v>
      </x:c>
      <x:c r="B217" s="1" t="str">
        <x:v>27113</x:v>
      </x:c>
      <x:c r="C217" s="1"/>
      <x:c r="D217" s="1" t="str">
        <x:v>S0096</x:v>
      </x:c>
      <x:c r="E217" s="1" t="str">
        <x:v>RE003</x:v>
      </x:c>
      <x:c r="F217" s="1" t="n">
        <x:v>2200</x:v>
      </x:c>
      <x:c r="G217" s="1" t="str">
        <x:v>-99.0</x:v>
      </x:c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</x:row>
    <x:row r="219">
      <x:c r="A219" s="1" t="str">
        <x:v>! Section</x:v>
      </x:c>
      <x:c r="B219" s="1" t="str">
        <x:v>Organic_material_application_treatments</x:v>
      </x:c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</x:row>
    <x:row r="220">
      <x:c r="A220" s="1" t="str">
        <x:v>! Definitions</x:v>
      </x:c>
      <x:c r="B220" s="1" t="str">
        <x:v>Total seasonal organic materials application amount, dry weight basis</x:v>
      </x:c>
      <x:c r="C220" s="1"/>
      <x:c r="D220" s="1" t="str">
        <x:v>Unique identifier for an organic material application treatment</x:v>
      </x:c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</x:row>
    <x:row r="221">
      <x:c r="A221" s="1" t="str">
        <x:v>! Units</x:v>
      </x:c>
      <x:c r="B221" s="1" t="str">
        <x:v>kg/ha</x:v>
      </x:c>
      <x:c r="C221" s="1"/>
      <x:c r="D221" s="1" t="str">
        <x:v>text</x:v>
      </x:c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</x:row>
    <x:row r="222">
      <x:c r="A222" s="2" t="str">
        <x:v>#</x:v>
      </x:c>
      <x:c r="B222" s="2" t="str">
        <x:v>OM_TOT</x:v>
      </x:c>
      <x:c r="C222" s="2"/>
      <x:c r="D222" s="2" t="str">
        <x:v>ORGMATAP</x:v>
      </x:c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</x:row>
    <x:row r="223">
      <x:c r="A223" s="1" t="n">
        <x:v>23</x:v>
      </x:c>
      <x:c r="B223" s="1"/>
      <x:c r="C223" s="1"/>
      <x:c r="D223" s="1" t="str">
        <x:v>S0095</x:v>
      </x:c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</x:row>
    <x:row r="224">
      <x:c r="A224" s="1" t="n">
        <x:v>41</x:v>
      </x:c>
      <x:c r="B224" s="1"/>
      <x:c r="C224" s="1"/>
      <x:c r="D224" s="1" t="str">
        <x:v>S0096</x:v>
      </x:c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</x:row>
    <x:row r="226">
      <x:c r="A226" s="1" t="str">
        <x:v>! Section</x:v>
      </x:c>
      <x:c r="B226" s="1" t="str">
        <x:v>Other_observations_summary</x:v>
      </x:c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</x:row>
    <x:row r="227">
      <x:c r="A227" s="1" t="str">
        <x:v>! Definitions</x:v>
      </x:c>
      <x:c r="B227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C227" s="1"/>
      <x:c r="D227" s="1" t="str">
        <x:v>Rainfall, planting to harvest</x:v>
      </x:c>
      <x:c r="E227" s="1" t="str">
        <x:v>Evapotranspiration, cumulative from planting to harvest</x:v>
      </x:c>
      <x:c r="F227" s="1" t="str">
        <x:v>Transpiration, cumulative from planting to harvest</x:v>
      </x:c>
      <x:c r="G227" s="1" t="str">
        <x:v>Evaporation,soil, cumulative from planting to harvest</x:v>
      </x:c>
      <x:c r="H227" s="1" t="str">
        <x:v>Runoff, season total</x:v>
      </x:c>
      <x:c r="I227" s="1" t="str">
        <x:v>Drainage,season</x:v>
      </x:c>
      <x:c r="J227" s="1" t="str">
        <x:v>Solar radiation, average, sowing to harvest</x:v>
      </x:c>
      <x:c r="K227" s="1" t="str">
        <x:v>Maximum daily air temperature, average, sowing to harvest</x:v>
      </x:c>
      <x:c r="L227" s="1" t="str">
        <x:v>Minimum daily air temperature, average, sowing to harvest</x:v>
      </x:c>
      <x:c r="M227" s="1" t="str">
        <x:v>Daily air temperature, average, sowing to harvest</x:v>
      </x:c>
      <x:c r="N227" s="1" t="str">
        <x:v>N, inorganic, applied up to harvest maturity</x:v>
      </x:c>
      <x:c r="O227" s="1" t="str">
        <x:v>Organic matter appl (dry), cumulative</x:v>
      </x:c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</x:row>
    <x:row r="228">
      <x:c r="A228" s="1" t="str">
        <x:v>! Units</x:v>
      </x:c>
      <x:c r="B228" s="1" t="str">
        <x:v>text</x:v>
      </x:c>
      <x:c r="C228" s="1"/>
      <x:c r="D228" s="1" t="str">
        <x:v>mm</x:v>
      </x:c>
      <x:c r="E228" s="1" t="str">
        <x:v>mm</x:v>
      </x:c>
      <x:c r="F228" s="1" t="str">
        <x:v>mm</x:v>
      </x:c>
      <x:c r="G228" s="1" t="str">
        <x:v>mm</x:v>
      </x:c>
      <x:c r="H228" s="1" t="str">
        <x:v>mm</x:v>
      </x:c>
      <x:c r="I228" s="1" t="str">
        <x:v>mm</x:v>
      </x:c>
      <x:c r="J228" s="1" t="str">
        <x:v>MJ/(m2.d)</x:v>
      </x:c>
      <x:c r="K228" s="1" t="str">
        <x:v>degree_C</x:v>
      </x:c>
      <x:c r="L228" s="1" t="str">
        <x:v>degree_C</x:v>
      </x:c>
      <x:c r="M228" s="1" t="str">
        <x:v>degree_C</x:v>
      </x:c>
      <x:c r="N228" s="1" t="str">
        <x:v>kg/ha</x:v>
      </x:c>
      <x:c r="O228" s="1" t="str">
        <x:v>kg/ha</x:v>
      </x:c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</x:row>
    <x:row r="229">
      <x:c r="A229" s="2" t="str">
        <x:v>#</x:v>
      </x:c>
      <x:c r="B229" s="2" t="str">
        <x:v>GRPPL_OO</x:v>
      </x:c>
      <x:c r="C229" s="2"/>
      <x:c r="D229" s="2" t="str">
        <x:v>PRCP</x:v>
      </x:c>
      <x:c r="E229" s="2" t="str">
        <x:v>etcp</x:v>
      </x:c>
      <x:c r="F229" s="2" t="str">
        <x:v>EPCP</x:v>
      </x:c>
      <x:c r="G229" s="2" t="str">
        <x:v> ESCP </x:v>
      </x:c>
      <x:c r="H229" s="2" t="str">
        <x:v>rocm</x:v>
      </x:c>
      <x:c r="I229" s="2" t="str">
        <x:v>DRCM</x:v>
      </x:c>
      <x:c r="J229" s="2" t="str">
        <x:v>SRAA</x:v>
      </x:c>
      <x:c r="K229" s="2" t="str">
        <x:v>tmaxa</x:v>
      </x:c>
      <x:c r="L229" s="2" t="str">
        <x:v> TMINA </x:v>
      </x:c>
      <x:c r="M229" s="2" t="str">
        <x:v>TAVGA</x:v>
      </x:c>
      <x:c r="N229" s="2" t="str">
        <x:v>nico</x:v>
      </x:c>
      <x:c r="O229" s="2" t="str">
        <x:v>OMAC</x:v>
      </x:c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</x:row>
    <x:row r="230">
      <x:c r="A230" s="1" t="n">
        <x:v>11</x:v>
      </x:c>
      <x:c r="B230" s="1" t="str">
        <x:v>11</x:v>
      </x:c>
      <x:c r="C230" s="1"/>
      <x:c r="D230" s="1" t="n">
        <x:v>225.43</x:v>
      </x:c>
      <x:c r="E230" s="1" t="n">
        <x:v>342.1</x:v>
      </x:c>
      <x:c r="F230" s="1" t="n">
        <x:v>250.8</x:v>
      </x:c>
      <x:c r="G230" s="1" t="n">
        <x:v>91.3</x:v>
      </x:c>
      <x:c r="H230" s="1" t="n">
        <x:v>22</x:v>
      </x:c>
      <x:c r="I230" s="1"/>
      <x:c r="J230" s="1"/>
      <x:c r="K230" s="1"/>
      <x:c r="L230" s="1"/>
      <x:c r="M230" s="1"/>
      <x:c r="N230" s="1" t="n">
        <x:v>120</x:v>
      </x:c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</x:row>
    <x:row r="231">
      <x:c r="A231" s="1" t="n">
        <x:v>29</x:v>
      </x:c>
      <x:c r="B231" s="1" t="str">
        <x:v>29</x:v>
      </x:c>
      <x:c r="C231" s="1"/>
      <x:c r="D231" s="1" t="n">
        <x:v>413.5</x:v>
      </x:c>
      <x:c r="E231" s="1"/>
      <x:c r="F231" s="1"/>
      <x:c r="G231" s="1" t="str">
        <x:v>-99</x:v>
      </x:c>
      <x:c r="H231" s="1"/>
      <x:c r="I231" s="1" t="n">
        <x:v>38</x:v>
      </x:c>
      <x:c r="J231" s="1" t="n">
        <x:v>15.905</x:v>
      </x:c>
      <x:c r="K231" s="1" t="n">
        <x:v>21.746</x:v>
      </x:c>
      <x:c r="L231" s="1" t="n">
        <x:v>13.733</x:v>
      </x:c>
      <x:c r="M231" s="1" t="n">
        <x:v>17.74</x:v>
      </x:c>
      <x:c r="N231" s="1" t="n">
        <x:v>120</x:v>
      </x:c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</x:row>
    <x:row r="232">
      <x:c r="A232" s="1" t="n">
        <x:v>17</x:v>
      </x:c>
      <x:c r="B232" s="1" t="str">
        <x:v>17</x:v>
      </x:c>
      <x:c r="C232" s="1"/>
      <x:c r="D232" s="1" t="n">
        <x:v>225.43</x:v>
      </x:c>
      <x:c r="E232" s="1" t="n">
        <x:v>342.1</x:v>
      </x:c>
      <x:c r="F232" s="1" t="n">
        <x:v>250.8</x:v>
      </x:c>
      <x:c r="G232" s="1" t="n">
        <x:v>91.3</x:v>
      </x:c>
      <x:c r="H232" s="1" t="str">
        <x:v>-99</x:v>
      </x:c>
      <x:c r="I232" s="1"/>
      <x:c r="J232" s="1"/>
      <x:c r="K232" s="1"/>
      <x:c r="L232" s="1"/>
      <x:c r="M232" s="1"/>
      <x:c r="N232" s="1" t="n">
        <x:v>60</x:v>
      </x:c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</x:row>
    <x:row r="233">
      <x:c r="A233" s="1" t="n">
        <x:v>35</x:v>
      </x:c>
      <x:c r="B233" s="1" t="str">
        <x:v>35</x:v>
      </x:c>
      <x:c r="C233" s="1"/>
      <x:c r="D233" s="1" t="n">
        <x:v>413.5</x:v>
      </x:c>
      <x:c r="E233" s="1"/>
      <x:c r="F233" s="1"/>
      <x:c r="G233" s="1"/>
      <x:c r="H233" s="1" t="n">
        <x:v>22</x:v>
      </x:c>
      <x:c r="I233" s="1"/>
      <x:c r="J233" s="1" t="n">
        <x:v>15.905</x:v>
      </x:c>
      <x:c r="K233" s="1" t="n">
        <x:v>21.746</x:v>
      </x:c>
      <x:c r="L233" s="1" t="n">
        <x:v>13.733</x:v>
      </x:c>
      <x:c r="M233" s="1" t="n">
        <x:v>17.74</x:v>
      </x:c>
      <x:c r="N233" s="1" t="n">
        <x:v>60</x:v>
      </x:c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</x:row>
    <x:row r="234">
      <x:c r="A234" s="1" t="n">
        <x:v>23</x:v>
      </x:c>
      <x:c r="B234" s="1" t="str">
        <x:v>23</x:v>
      </x:c>
      <x:c r="C234" s="1"/>
      <x:c r="D234" s="1" t="n">
        <x:v>225.43</x:v>
      </x:c>
      <x:c r="E234" s="1" t="n">
        <x:v>342.1</x:v>
      </x:c>
      <x:c r="F234" s="1" t="n">
        <x:v>250.8</x:v>
      </x:c>
      <x:c r="G234" s="1" t="n">
        <x:v>91.3</x:v>
      </x:c>
      <x:c r="H234" s="1"/>
      <x:c r="I234" s="1" t="n">
        <x:v>38</x:v>
      </x:c>
      <x:c r="J234" s="1"/>
      <x:c r="K234" s="1"/>
      <x:c r="L234" s="1"/>
      <x:c r="M234" s="1"/>
      <x:c r="N234" s="1" t="n">
        <x:v>120</x:v>
      </x:c>
      <x:c r="O234" s="1" t="n">
        <x:v>1800</x:v>
      </x:c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</x:row>
    <x:row r="235">
      <x:c r="A235" s="1" t="n">
        <x:v>41</x:v>
      </x:c>
      <x:c r="B235" s="1" t="str">
        <x:v>41</x:v>
      </x:c>
      <x:c r="C235" s="1"/>
      <x:c r="D235" s="1" t="n">
        <x:v>413.5</x:v>
      </x:c>
      <x:c r="E235" s="1"/>
      <x:c r="F235" s="1"/>
      <x:c r="G235" s="1"/>
      <x:c r="H235" s="1"/>
      <x:c r="I235" s="1" t="str">
        <x:v>-99</x:v>
      </x:c>
      <x:c r="J235" s="1" t="n">
        <x:v>15.905</x:v>
      </x:c>
      <x:c r="K235" s="1" t="n">
        <x:v>21.746</x:v>
      </x:c>
      <x:c r="L235" s="1" t="n">
        <x:v>13.733</x:v>
      </x:c>
      <x:c r="M235" s="1" t="n">
        <x:v>17.74</x:v>
      </x:c>
      <x:c r="N235" s="1" t="n">
        <x:v>120</x:v>
      </x:c>
      <x:c r="O235" s="1" t="n">
        <x:v>2200</x:v>
      </x:c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</x:row>
    <x:row r="237">
      <x:c r="A237" s="1" t="str">
        <x:v>! Section</x:v>
      </x:c>
      <x:c r="B237" s="1" t="str">
        <x:v>Other_observations_timeseries</x:v>
      </x:c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</x:row>
    <x:row r="238">
      <x:c r="A238" s="1" t="str">
        <x:v>! Definitions</x:v>
      </x:c>
      <x:c r="B238" s="1" t="str">
        <x:v>Daily methane emitted from soil</x:v>
      </x:c>
      <x:c r="C238" s="1"/>
      <x:c r="D238" s="1" t="str">
        <x:v>Daily N2O emitted from soil</x:v>
      </x:c>
      <x:c r="E238" s="1" t="str">
        <x:v>Daily CO2 emitted from decomposition of SOM</x:v>
      </x:c>
      <x:c r="F238" s="1" t="str">
        <x:v>Floodwater depth</x:v>
      </x:c>
      <x:c r="G238" s="1" t="str">
        <x:v>N applications</x:v>
      </x:c>
      <x:c r="H238" s="1" t="str">
        <x:v>Irrigation, cumulative</x:v>
      </x:c>
      <x:c r="I238" s="1" t="str">
        <x:v>Water stress factor reducing growth (0 to 1 scale)</x:v>
      </x:c>
      <x:c r="J238" s="1" t="str">
        <x:v>Irrigation applications, cumulative</x:v>
      </x:c>
      <x:c r="K238" s="1" t="str">
        <x:v>Evapotranspiration</x:v>
      </x:c>
      <x:c r="L238" s="1" t="str">
        <x:v>Evaporation, soil, daily</x:v>
      </x:c>
      <x:c r="M238" s="1" t="str">
        <x:v>Transpiration (evaporation from plant), daily</x:v>
      </x:c>
      <x:c r="N238" s="1" t="str">
        <x:v>Water available in root zone</x:v>
      </x:c>
      <x:c r="O238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P238" s="1" t="str">
        <x:v>Date of measurement; use YYYY-MM-DD.</x:v>
      </x:c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</x:row>
    <x:row r="239">
      <x:c r="A239" s="1" t="str">
        <x:v>! Units</x:v>
      </x:c>
      <x:c r="B239" s="1" t="str">
        <x:v>g/ha</x:v>
      </x:c>
      <x:c r="C239" s="1"/>
      <x:c r="D239" s="1" t="str">
        <x:v>g/ha</x:v>
      </x:c>
      <x:c r="E239" s="1" t="str">
        <x:v>g/ha</x:v>
      </x:c>
      <x:c r="F239" s="1" t="str">
        <x:v>mm</x:v>
      </x:c>
      <x:c r="G239" s="1" t="str">
        <x:v>number</x:v>
      </x:c>
      <x:c r="H239" s="1" t="str">
        <x:v>mm</x:v>
      </x:c>
      <x:c r="I239" s="1" t="str">
        <x:v>number</x:v>
      </x:c>
      <x:c r="J239" s="1" t="str">
        <x:v>number</x:v>
      </x:c>
      <x:c r="K239" s="1" t="str">
        <x:v>mm/d</x:v>
      </x:c>
      <x:c r="L239" s="1" t="str">
        <x:v>mm/d</x:v>
      </x:c>
      <x:c r="M239" s="1" t="str">
        <x:v>mm/d</x:v>
      </x:c>
      <x:c r="N239" s="1" t="str">
        <x:v>mm</x:v>
      </x:c>
      <x:c r="O239" s="1" t="str">
        <x:v>text</x:v>
      </x:c>
      <x:c r="P239" s="1" t="str">
        <x:v>date</x:v>
      </x:c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</x:row>
    <x:row r="240">
      <x:c r="A240" s="2" t="str">
        <x:v>%</x:v>
      </x:c>
      <x:c r="B240" s="2" t="str">
        <x:v>CH4ED</x:v>
      </x:c>
      <x:c r="C240" s="2"/>
      <x:c r="D240" s="2" t="str">
        <x:v>N2OED</x:v>
      </x:c>
      <x:c r="E240" s="2" t="str">
        <x:v>co2ed</x:v>
      </x:c>
      <x:c r="F240" s="2" t="str">
        <x:v>FLDD</x:v>
      </x:c>
      <x:c r="G240" s="2" t="str">
        <x:v> NI#M </x:v>
      </x:c>
      <x:c r="H240" s="2" t="str">
        <x:v>irrc</x:v>
      </x:c>
      <x:c r="I240" s="2" t="str">
        <x:v>QFGD</x:v>
      </x:c>
      <x:c r="J240" s="2" t="str">
        <x:v>IR#C</x:v>
      </x:c>
      <x:c r="K240" s="2" t="str">
        <x:v>etad</x:v>
      </x:c>
      <x:c r="L240" s="2" t="str">
        <x:v> ESAD </x:v>
      </x:c>
      <x:c r="M240" s="2" t="str">
        <x:v>EPAD</x:v>
      </x:c>
      <x:c r="N240" s="2" t="str">
        <x:v>h2oa</x:v>
      </x:c>
      <x:c r="O240" s="2" t="str">
        <x:v>GRPPL_OO</x:v>
      </x:c>
      <x:c r="P240" s="2" t="str">
        <x:v>DATE</x:v>
      </x:c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</x:row>
    <x:row r="241">
      <x:c r="A241" s="1" t="n">
        <x:v>11</x:v>
      </x:c>
      <x:c r="B241" s="1"/>
      <x:c r="C241" s="1"/>
      <x:c r="D241" s="1"/>
      <x:c r="E241" s="1"/>
      <x:c r="F241" s="1"/>
      <x:c r="G241" s="1" t="n">
        <x:v>1</x:v>
      </x:c>
      <x:c r="H241" s="1"/>
      <x:c r="I241" s="1"/>
      <x:c r="J241" s="1"/>
      <x:c r="K241" s="1" t="n">
        <x:v>3.94</x:v>
      </x:c>
      <x:c r="L241" s="1" t="n">
        <x:v>0.79</x:v>
      </x:c>
      <x:c r="M241" s="1" t="n">
        <x:v>3.15</x:v>
      </x:c>
      <x:c r="N241" s="1"/>
      <x:c r="O241" s="1" t="str">
        <x:v>11</x:v>
      </x:c>
      <x:c r="P241" s="3" t="d">
        <x:v>2026-06-12T00:00:00.000Z</x:v>
      </x:c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</x:row>
    <x:row r="242">
      <x:c r="A242" s="1" t="n">
        <x:v>11</x:v>
      </x:c>
      <x:c r="B242" s="1"/>
      <x:c r="C242" s="1"/>
      <x:c r="D242" s="1"/>
      <x:c r="E242" s="1"/>
      <x:c r="F242" s="1"/>
      <x:c r="G242" s="1" t="n">
        <x:v>2</x:v>
      </x:c>
      <x:c r="H242" s="1"/>
      <x:c r="I242" s="1"/>
      <x:c r="J242" s="1"/>
      <x:c r="K242" s="1" t="n">
        <x:v>4.31</x:v>
      </x:c>
      <x:c r="L242" s="1" t="n">
        <x:v>0.65</x:v>
      </x:c>
      <x:c r="M242" s="1" t="n">
        <x:v>3.66</x:v>
      </x:c>
      <x:c r="N242" s="1"/>
      <x:c r="O242" s="1" t="str">
        <x:v>11</x:v>
      </x:c>
      <x:c r="P242" s="1" t="str">
        <x:v> 2026-07-15</x:v>
      </x:c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</x:row>
    <x:row r="243">
      <x:c r="A243" s="1" t="n">
        <x:v>11</x:v>
      </x:c>
      <x:c r="B243" s="1"/>
      <x:c r="C243" s="1"/>
      <x:c r="D243" s="1"/>
      <x:c r="E243" s="1"/>
      <x:c r="F243" s="1"/>
      <x:c r="G243" s="1" t="n">
        <x:v>2</x:v>
      </x:c>
      <x:c r="H243" s="1"/>
      <x:c r="I243" s="1"/>
      <x:c r="J243" s="1"/>
      <x:c r="K243" s="1" t="n">
        <x:v>2.93</x:v>
      </x:c>
      <x:c r="L243" s="1" t="n">
        <x:v>0.49</x:v>
      </x:c>
      <x:c r="M243" s="1"/>
      <x:c r="N243" s="1" t="n">
        <x:v>2.44</x:v>
      </x:c>
      <x:c r="O243" s="1"/>
      <x:c r="P243" s="1" t="str">
        <x:v>11</x:v>
      </x:c>
      <x:c r="Q243" s="1" t="str">
        <x:v>2026-8-22</x:v>
      </x:c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</x:row>
    <x:row r="244">
      <x:c r="A244" s="1" t="n">
        <x:v>29</x:v>
      </x:c>
      <x:c r="B244" s="1"/>
      <x:c r="C244" s="1"/>
      <x:c r="D244" s="1"/>
      <x:c r="E244" s="1"/>
      <x:c r="F244" s="1"/>
      <x:c r="G244" s="1" t="n">
        <x:v>2</x:v>
      </x:c>
      <x:c r="H244" s="1"/>
      <x:c r="I244" s="1" t="n">
        <x:v>0.93</x:v>
      </x:c>
      <x:c r="J244" s="1"/>
      <x:c r="K244" s="1" t="n">
        <x:v>3.94</x:v>
      </x:c>
      <x:c r="L244" s="1"/>
      <x:c r="M244" s="1"/>
      <x:c r="N244" s="1" t="n">
        <x:v>87.5</x:v>
      </x:c>
      <x:c r="O244" s="1" t="str">
        <x:v>29</x:v>
      </x:c>
      <x:c r="P244" s="1" t="str">
        <x:v>27170</x:v>
      </x:c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</x:row>
    <x:row r="245">
      <x:c r="A245" s="1" t="n">
        <x:v>29</x:v>
      </x:c>
      <x:c r="B245" s="1"/>
      <x:c r="C245" s="1"/>
      <x:c r="D245" s="1"/>
      <x:c r="E245" s="1"/>
      <x:c r="F245" s="1"/>
      <x:c r="G245" s="1" t="n">
        <x:v>2</x:v>
      </x:c>
      <x:c r="H245" s="1"/>
      <x:c r="I245" s="1" t="n">
        <x:v>0.88</x:v>
      </x:c>
      <x:c r="J245" s="1"/>
      <x:c r="K245" s="1" t="n">
        <x:v>4.31</x:v>
      </x:c>
      <x:c r="L245" s="1"/>
      <x:c r="M245" s="1"/>
      <x:c r="N245" s="1" t="n">
        <x:v>78.5</x:v>
      </x:c>
      <x:c r="O245" s="1" t="str">
        <x:v>29</x:v>
      </x:c>
      <x:c r="P245" s="3" t="d">
        <x:v>2027-07-25T00:00:00.000Z</x:v>
      </x:c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</x:row>
    <x:row r="246">
      <x:c r="A246" s="1" t="n">
        <x:v>29</x:v>
      </x:c>
      <x:c r="B246" s="1"/>
      <x:c r="C246" s="1"/>
      <x:c r="D246" s="1"/>
      <x:c r="E246" s="1"/>
      <x:c r="F246" s="1"/>
      <x:c r="G246" s="1" t="n">
        <x:v>2</x:v>
      </x:c>
      <x:c r="H246" s="1" t="str">
        <x:v>-99</x:v>
      </x:c>
      <x:c r="I246" s="1" t="n">
        <x:v>0.82</x:v>
      </x:c>
      <x:c r="J246" s="1"/>
      <x:c r="K246" s="1" t="n">
        <x:v>2.93</x:v>
      </x:c>
      <x:c r="L246" s="1" t="str">
        <x:v>-99.0</x:v>
      </x:c>
      <x:c r="M246" s="1"/>
      <x:c r="N246" s="1" t="n">
        <x:v>68</x:v>
      </x:c>
      <x:c r="O246" s="1" t="str">
        <x:v>29</x:v>
      </x:c>
      <x:c r="P246" s="1" t="str">
        <x:v> 2027-09-05</x:v>
      </x:c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</x:row>
    <x:row r="247">
      <x:c r="A247" s="1" t="n">
        <x:v>17</x:v>
      </x:c>
      <x:c r="B247" s="1"/>
      <x:c r="C247" s="1"/>
      <x:c r="D247" s="1" t="n">
        <x:v>13.12</x:v>
      </x:c>
      <x:c r="E247" s="1" t="n">
        <x:v>12061</x:v>
      </x:c>
      <x:c r="F247" s="1"/>
      <x:c r="G247" s="1" t="n">
        <x:v>1</x:v>
      </x:c>
      <x:c r="H247" s="1" t="n">
        <x:v>20</x:v>
      </x:c>
      <x:c r="I247" s="1"/>
      <x:c r="J247" s="1" t="n">
        <x:v>1</x:v>
      </x:c>
      <x:c r="K247" s="1" t="n">
        <x:v>3.94</x:v>
      </x:c>
      <x:c r="L247" s="1"/>
      <x:c r="M247" s="1" t="str">
        <x:v>-99</x:v>
      </x:c>
      <x:c r="N247" s="1"/>
      <x:c r="O247" s="1" t="str">
        <x:v>17</x:v>
      </x:c>
      <x:c r="P247" s="1" t="str">
        <x:v>2026-6-12</x:v>
      </x:c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</x:row>
    <x:row r="248">
      <x:c r="A248" s="1" t="n">
        <x:v>17</x:v>
      </x:c>
      <x:c r="B248" s="1"/>
      <x:c r="C248" s="1"/>
      <x:c r="D248" s="1" t="n">
        <x:v>13.96</x:v>
      </x:c>
      <x:c r="E248" s="1" t="n">
        <x:v>12482</x:v>
      </x:c>
      <x:c r="F248" s="1" t="str">
        <x:v>-99</x:v>
      </x:c>
      <x:c r="G248" s="1" t="n">
        <x:v>2</x:v>
      </x:c>
      <x:c r="H248" s="1" t="n">
        <x:v>45</x:v>
      </x:c>
      <x:c r="I248" s="1"/>
      <x:c r="J248" s="1" t="n">
        <x:v>2</x:v>
      </x:c>
      <x:c r="K248" s="1" t="n">
        <x:v>4.31</x:v>
      </x:c>
      <x:c r="L248" s="1"/>
      <x:c r="M248" s="1"/>
      <x:c r="N248" s="1"/>
      <x:c r="O248" s="1" t="str">
        <x:v>17</x:v>
      </x:c>
      <x:c r="P248" s="1" t="str">
        <x:v>26196</x:v>
      </x:c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</x:row>
    <x:row r="249">
      <x:c r="A249" s="1" t="n">
        <x:v>17</x:v>
      </x:c>
      <x:c r="B249" s="1"/>
      <x:c r="C249" s="1"/>
      <x:c r="D249" s="1" t="n">
        <x:v>11.93</x:v>
      </x:c>
      <x:c r="E249" s="1" t="n">
        <x:v>11464</x:v>
      </x:c>
      <x:c r="F249" s="1"/>
      <x:c r="G249" s="1" t="n">
        <x:v>2</x:v>
      </x:c>
      <x:c r="H249" s="1" t="n">
        <x:v>45</x:v>
      </x:c>
      <x:c r="I249" s="1"/>
      <x:c r="J249" s="1" t="n">
        <x:v>2</x:v>
      </x:c>
      <x:c r="K249" s="1" t="n">
        <x:v>2.93</x:v>
      </x:c>
      <x:c r="L249" s="1"/>
      <x:c r="M249" s="1"/>
      <x:c r="N249" s="1"/>
      <x:c r="O249" s="1" t="str">
        <x:v>17</x:v>
      </x:c>
      <x:c r="P249" s="3" t="d">
        <x:v>2026-08-22T00:00:00.000Z</x:v>
      </x:c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</x:row>
    <x:row r="250">
      <x:c r="A250" s="1" t="n">
        <x:v>35</x:v>
      </x:c>
      <x:c r="B250" s="1" t="n">
        <x:v>185.4</x:v>
      </x:c>
      <x:c r="C250" s="1"/>
      <x:c r="D250" s="1"/>
      <x:c r="E250" s="1"/>
      <x:c r="F250" s="1" t="n">
        <x:v>32.1</x:v>
      </x:c>
      <x:c r="G250" s="1" t="n">
        <x:v>2</x:v>
      </x:c>
      <x:c r="H250" s="1" t="n">
        <x:v>50</x:v>
      </x:c>
      <x:c r="I250" s="1"/>
      <x:c r="J250" s="1" t="n">
        <x:v>2</x:v>
      </x:c>
      <x:c r="K250" s="1" t="n">
        <x:v>3.94</x:v>
      </x:c>
      <x:c r="L250" s="1" t="n">
        <x:v>0.79</x:v>
      </x:c>
      <x:c r="M250" s="1" t="n">
        <x:v>3.15</x:v>
      </x:c>
      <x:c r="N250" s="1"/>
      <x:c r="O250" s="1" t="str">
        <x:v>35</x:v>
      </x:c>
      <x:c r="P250" s="1" t="str">
        <x:v> 2027-06-19</x:v>
      </x:c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</x:row>
    <x:row r="251">
      <x:c r="A251" s="1" t="n">
        <x:v>35</x:v>
      </x:c>
      <x:c r="B251" s="1" t="n">
        <x:v>199.4</x:v>
      </x:c>
      <x:c r="C251" s="1"/>
      <x:c r="D251" s="1"/>
      <x:c r="E251" s="1"/>
      <x:c r="F251" s="1" t="n">
        <x:v>34.9</x:v>
      </x:c>
      <x:c r="G251" s="1" t="n">
        <x:v>2</x:v>
      </x:c>
      <x:c r="H251" s="1" t="n">
        <x:v>75</x:v>
      </x:c>
      <x:c r="I251" s="1" t="str">
        <x:v>-99.0</x:v>
      </x:c>
      <x:c r="J251" s="1" t="n">
        <x:v>3</x:v>
      </x:c>
      <x:c r="K251" s="1" t="n">
        <x:v>4.31</x:v>
      </x:c>
      <x:c r="L251" s="1" t="n">
        <x:v>0.65</x:v>
      </x:c>
      <x:c r="M251" s="1" t="n">
        <x:v>3.66</x:v>
      </x:c>
      <x:c r="N251" s="1"/>
      <x:c r="O251" s="1" t="str">
        <x:v>35</x:v>
      </x:c>
      <x:c r="P251" s="1" t="str">
        <x:v>2027-7-25</x:v>
      </x:c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</x:row>
    <x:row r="252">
      <x:c r="A252" s="1"/>
      <x:c r="B252" s="1" t="n">
        <x:v>35</x:v>
      </x:c>
      <x:c r="C252" s="1" t="n">
        <x:v>165.5</x:v>
      </x:c>
      <x:c r="D252" s="1"/>
      <x:c r="E252" s="1"/>
      <x:c r="F252" s="1"/>
      <x:c r="G252" s="1" t="n">
        <x:v>28.1</x:v>
      </x:c>
      <x:c r="H252" s="1" t="n">
        <x:v>2</x:v>
      </x:c>
      <x:c r="I252" s="1" t="n">
        <x:v>75</x:v>
      </x:c>
      <x:c r="J252" s="1"/>
      <x:c r="K252" s="1" t="n">
        <x:v>3</x:v>
      </x:c>
      <x:c r="L252" s="1" t="n">
        <x:v>2.93</x:v>
      </x:c>
      <x:c r="M252" s="1" t="n">
        <x:v>0.49</x:v>
      </x:c>
      <x:c r="N252" s="1" t="n">
        <x:v>2.44</x:v>
      </x:c>
      <x:c r="O252" s="1" t="str">
        <x:v>-99.0</x:v>
      </x:c>
      <x:c r="P252" s="1" t="str">
        <x:v>35</x:v>
      </x:c>
      <x:c r="Q252" s="1" t="str">
        <x:v>27248</x:v>
      </x:c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</x:row>
    <x:row r="253">
      <x:c r="A253" s="1"/>
      <x:c r="B253" s="1" t="n">
        <x:v>23</x:v>
      </x:c>
      <x:c r="C253" s="1"/>
      <x:c r="D253" s="1"/>
      <x:c r="E253" s="1"/>
      <x:c r="F253" s="1" t="str">
        <x:v>-99.0</x:v>
      </x:c>
      <x:c r="G253" s="1"/>
      <x:c r="H253" s="1" t="n">
        <x:v>1</x:v>
      </x:c>
      <x:c r="I253" s="1" t="str">
        <x:v>-99</x:v>
      </x:c>
      <x:c r="J253" s="1" t="n">
        <x:v>0.93</x:v>
      </x:c>
      <x:c r="K253" s="1"/>
      <x:c r="L253" s="1" t="n">
        <x:v>3.94</x:v>
      </x:c>
      <x:c r="M253" s="1"/>
      <x:c r="N253" s="1"/>
      <x:c r="O253" s="1" t="n">
        <x:v>87.5</x:v>
      </x:c>
      <x:c r="P253" s="1" t="str">
        <x:v>23</x:v>
      </x:c>
      <x:c r="Q253" s="3" t="d">
        <x:v>2026-06-12T00:00:00.000Z</x:v>
      </x:c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</x:row>
    <x:row r="254">
      <x:c r="A254" s="1" t="n">
        <x:v>23</x:v>
      </x:c>
      <x:c r="B254" s="1"/>
      <x:c r="C254" s="1"/>
      <x:c r="D254" s="1"/>
      <x:c r="E254" s="1"/>
      <x:c r="F254" s="1"/>
      <x:c r="G254" s="1" t="n">
        <x:v>2</x:v>
      </x:c>
      <x:c r="H254" s="1"/>
      <x:c r="I254" s="1" t="n">
        <x:v>0.88</x:v>
      </x:c>
      <x:c r="J254" s="1"/>
      <x:c r="K254" s="1" t="n">
        <x:v>4.31</x:v>
      </x:c>
      <x:c r="L254" s="1"/>
      <x:c r="M254" s="1"/>
      <x:c r="N254" s="1" t="n">
        <x:v>78.5</x:v>
      </x:c>
      <x:c r="O254" s="1" t="str">
        <x:v>23</x:v>
      </x:c>
      <x:c r="P254" s="1" t="str">
        <x:v> 2026-07-15</x:v>
      </x:c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</x:row>
    <x:row r="255">
      <x:c r="A255" s="1" t="n">
        <x:v>23</x:v>
      </x:c>
      <x:c r="B255" s="1"/>
      <x:c r="C255" s="1"/>
      <x:c r="D255" s="1"/>
      <x:c r="E255" s="1"/>
      <x:c r="F255" s="1"/>
      <x:c r="G255" s="1" t="n">
        <x:v>2</x:v>
      </x:c>
      <x:c r="H255" s="1"/>
      <x:c r="I255" s="1" t="n">
        <x:v>0.82</x:v>
      </x:c>
      <x:c r="J255" s="1"/>
      <x:c r="K255" s="1" t="n">
        <x:v>2.93</x:v>
      </x:c>
      <x:c r="L255" s="1"/>
      <x:c r="M255" s="1"/>
      <x:c r="N255" s="1" t="n">
        <x:v>68</x:v>
      </x:c>
      <x:c r="O255" s="1" t="str">
        <x:v>23</x:v>
      </x:c>
      <x:c r="P255" s="1" t="str">
        <x:v>2026-8-22</x:v>
      </x:c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</x:row>
    <x:row r="256">
      <x:c r="A256" s="1" t="n">
        <x:v>41</x:v>
      </x:c>
      <x:c r="B256" s="1" t="n">
        <x:v>185.4</x:v>
      </x:c>
      <x:c r="C256" s="1"/>
      <x:c r="D256" s="1" t="n">
        <x:v>13.12</x:v>
      </x:c>
      <x:c r="E256" s="1" t="n">
        <x:v>12061</x:v>
      </x:c>
      <x:c r="F256" s="1" t="n">
        <x:v>32.1</x:v>
      </x:c>
      <x:c r="G256" s="1" t="n">
        <x:v>2</x:v>
      </x:c>
      <x:c r="H256" s="1" t="str">
        <x:v>-99</x:v>
      </x:c>
      <x:c r="I256" s="1"/>
      <x:c r="J256" s="1"/>
      <x:c r="K256" s="1" t="n">
        <x:v>3.94</x:v>
      </x:c>
      <x:c r="L256" s="1"/>
      <x:c r="M256" s="1"/>
      <x:c r="N256" s="1"/>
      <x:c r="O256" s="1" t="str">
        <x:v>41</x:v>
      </x:c>
      <x:c r="P256" s="1" t="str">
        <x:v>27170</x:v>
      </x:c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</x:row>
    <x:row r="257">
      <x:c r="A257" s="1" t="n">
        <x:v>41</x:v>
      </x:c>
      <x:c r="B257" s="1" t="n">
        <x:v>199.4</x:v>
      </x:c>
      <x:c r="C257" s="1"/>
      <x:c r="D257" s="1" t="n">
        <x:v>13.96</x:v>
      </x:c>
      <x:c r="E257" s="1" t="n">
        <x:v>12482</x:v>
      </x:c>
      <x:c r="F257" s="1" t="n">
        <x:v>34.9</x:v>
      </x:c>
      <x:c r="G257" s="1" t="n">
        <x:v>2</x:v>
      </x:c>
      <x:c r="H257" s="1"/>
      <x:c r="I257" s="1"/>
      <x:c r="J257" s="1"/>
      <x:c r="K257" s="1" t="n">
        <x:v>4.31</x:v>
      </x:c>
      <x:c r="L257" s="1"/>
      <x:c r="M257" s="1"/>
      <x:c r="N257" s="1"/>
      <x:c r="O257" s="1" t="str">
        <x:v>41</x:v>
      </x:c>
      <x:c r="P257" s="3" t="d">
        <x:v>2027-07-25T00:00:00.000Z</x:v>
      </x:c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</x:row>
    <x:row r="258">
      <x:c r="A258" s="1" t="n">
        <x:v>41</x:v>
      </x:c>
      <x:c r="B258" s="1" t="n">
        <x:v>165.5</x:v>
      </x:c>
      <x:c r="C258" s="1"/>
      <x:c r="D258" s="1" t="n">
        <x:v>11.93</x:v>
      </x:c>
      <x:c r="E258" s="1" t="n">
        <x:v>11464</x:v>
      </x:c>
      <x:c r="F258" s="1" t="n">
        <x:v>28.1</x:v>
      </x:c>
      <x:c r="G258" s="1" t="n">
        <x:v>2</x:v>
      </x:c>
      <x:c r="H258" s="1"/>
      <x:c r="I258" s="1"/>
      <x:c r="J258" s="1"/>
      <x:c r="K258" s="1" t="n">
        <x:v>2.93</x:v>
      </x:c>
      <x:c r="L258" s="1"/>
      <x:c r="M258" s="1" t="str">
        <x:v>-99</x:v>
      </x:c>
      <x:c r="N258" s="1"/>
      <x:c r="O258" s="1" t="str">
        <x:v>41</x:v>
      </x:c>
      <x:c r="P258" s="1" t="str">
        <x:v> 2027-09-05</x:v>
      </x:c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</x:row>
    <x:row r="260">
      <x:c r="A260" s="1" t="str">
        <x:v>! Section</x:v>
      </x:c>
      <x:c r="B260" s="1" t="str">
        <x:v>Planting_events</x:v>
      </x:c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</x:row>
    <x:row r="261">
      <x:c r="A261" s="1" t="str">
        <x:v>! Definitions</x:v>
      </x:c>
      <x:c r="B261" s="1" t="str">
        <x:v>Planting or sowing date; use YYYY-MM-DD.</x:v>
      </x:c>
      <x:c r="C261" s="1"/>
      <x:c r="D261" s="1" t="str">
        <x:v>Unique identifier for a planting treatment</x:v>
      </x:c>
      <x:c r="E261" s="1" t="str">
        <x:v>Transplant date; use YYYY-MM-DD.</x:v>
      </x:c>
      <x:c r="F261" s="1" t="str">
        <x:v>Plant population at planting</x:v>
      </x:c>
      <x:c r="G261" s="1" t="str">
        <x:v>Planting material</x:v>
      </x:c>
      <x:c r="H261" s="1" t="str">
        <x:v>Planting method</x:v>
      </x:c>
      <x:c r="I261" s="1" t="str">
        <x:v>Planting distribution</x:v>
      </x:c>
      <x:c r="J261" s="1" t="str">
        <x:v>Distance between two adjacent rows</x:v>
      </x:c>
      <x:c r="K261" s="1" t="str">
        <x:v>Plants per hill</x:v>
      </x:c>
      <x:c r="L261" s="1" t="str">
        <x:v>Transplant age</x:v>
      </x:c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</x:row>
    <x:row r="262">
      <x:c r="A262" s="1" t="str">
        <x:v>! Units</x:v>
      </x:c>
      <x:c r="B262" s="1" t="str">
        <x:v>date</x:v>
      </x:c>
      <x:c r="C262" s="1"/>
      <x:c r="D262" s="1" t="str">
        <x:v>text</x:v>
      </x:c>
      <x:c r="E262" s="1" t="str">
        <x:v>date</x:v>
      </x:c>
      <x:c r="F262" s="1" t="str">
        <x:v>number/m2</x:v>
      </x:c>
      <x:c r="G262" s="1" t="str">
        <x:v>code</x:v>
      </x:c>
      <x:c r="H262" s="1" t="str">
        <x:v>code</x:v>
      </x:c>
      <x:c r="I262" s="1" t="str">
        <x:v>code</x:v>
      </x:c>
      <x:c r="J262" s="1" t="str">
        <x:v>cm</x:v>
      </x:c>
      <x:c r="K262" s="1" t="str">
        <x:v>number</x:v>
      </x:c>
      <x:c r="L262" s="1" t="str">
        <x:v>day</x:v>
      </x:c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</x:row>
    <x:row r="263">
      <x:c r="A263" s="2" t="str">
        <x:v>%</x:v>
      </x:c>
      <x:c r="B263" s="2" t="str">
        <x:v>PDATE</x:v>
      </x:c>
      <x:c r="C263" s="2"/>
      <x:c r="D263" s="2" t="str">
        <x:v>PLTTRTID</x:v>
      </x:c>
      <x:c r="E263" s="2" t="str">
        <x:v>trdate</x:v>
      </x:c>
      <x:c r="F263" s="2" t="str">
        <x:v>PLPOP</x:v>
      </x:c>
      <x:c r="G263" s="2" t="str">
        <x:v> PLMA </x:v>
      </x:c>
      <x:c r="H263" s="2" t="str">
        <x:v>plme</x:v>
      </x:c>
      <x:c r="I263" s="2" t="str">
        <x:v>PLDS</x:v>
      </x:c>
      <x:c r="J263" s="2" t="str">
        <x:v>PLRS</x:v>
      </x:c>
      <x:c r="K263" s="2" t="str">
        <x:v>plph</x:v>
      </x:c>
      <x:c r="L263" s="2" t="str">
        <x:v> PAGE </x:v>
      </x:c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</x:row>
    <x:row r="264">
      <x:c r="A264" s="1" t="n">
        <x:v>11</x:v>
      </x:c>
      <x:c r="B264" s="1" t="str">
        <x:v>2026-5-15</x:v>
      </x:c>
      <x:c r="C264" s="1"/>
      <x:c r="D264" s="1" t="str">
        <x:v>S0101</x:v>
      </x:c>
      <x:c r="E264" s="1"/>
      <x:c r="F264" s="1"/>
      <x:c r="G264" s="1"/>
      <x:c r="H264" s="1" t="str">
        <x:v>JP</x:v>
      </x:c>
      <x:c r="I264" s="1" t="str">
        <x:v>H</x:v>
      </x:c>
      <x:c r="J264" s="1" t="str">
        <x:v>-99</x:v>
      </x:c>
      <x:c r="K264" s="1" t="n">
        <x:v>3</x:v>
      </x:c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</x:row>
    <x:row r="265">
      <x:c r="A265" s="1" t="n">
        <x:v>17</x:v>
      </x:c>
      <x:c r="B265" s="1" t="str">
        <x:v>26135</x:v>
      </x:c>
      <x:c r="C265" s="1"/>
      <x:c r="D265" s="1" t="str">
        <x:v>S0101</x:v>
      </x:c>
      <x:c r="E265" s="1"/>
      <x:c r="F265" s="1"/>
      <x:c r="G265" s="1" t="str">
        <x:v>N/A</x:v>
      </x:c>
      <x:c r="H265" s="1" t="str">
        <x:v>JP</x:v>
      </x:c>
      <x:c r="I265" s="1" t="str">
        <x:v>H</x:v>
      </x:c>
      <x:c r="J265" s="1"/>
      <x:c r="K265" s="1" t="n">
        <x:v>3</x:v>
      </x:c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</x:row>
    <x:row r="266">
      <x:c r="A266" s="1" t="n">
        <x:v>23</x:v>
      </x:c>
      <x:c r="B266" s="3" t="d">
        <x:v>2026-05-15T00:00:00.000Z</x:v>
      </x:c>
      <x:c r="C266" s="1"/>
      <x:c r="D266" s="1" t="str">
        <x:v>S0101</x:v>
      </x:c>
      <x:c r="E266" s="1"/>
      <x:c r="F266" s="1"/>
      <x:c r="G266" s="1"/>
      <x:c r="H266" s="1" t="str">
        <x:v>JP</x:v>
      </x:c>
      <x:c r="I266" s="1" t="str">
        <x:v>H</x:v>
      </x:c>
      <x:c r="J266" s="1"/>
      <x:c r="K266" s="1" t="n">
        <x:v>3</x:v>
      </x:c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</x:row>
    <x:row r="267">
      <x:c r="A267" s="1" t="n">
        <x:v>29</x:v>
      </x:c>
      <x:c r="B267" s="1" t="str">
        <x:v> 2027-04-25</x:v>
      </x:c>
      <x:c r="C267" s="1"/>
      <x:c r="D267" s="1" t="str">
        <x:v>S0102</x:v>
      </x:c>
      <x:c r="E267" s="1" t="str">
        <x:v>2027-5-20</x:v>
      </x:c>
      <x:c r="F267" s="1"/>
      <x:c r="G267" s="1" t="str">
        <x:v>T</x:v>
      </x:c>
      <x:c r="H267" s="1" t="str">
        <x:v>MT</x:v>
      </x:c>
      <x:c r="I267" s="1"/>
      <x:c r="J267" s="1"/>
      <x:c r="K267" s="1" t="str">
        <x:v>-99.0</x:v>
      </x:c>
      <x:c r="L267" s="1" t="n">
        <x:v>25</x:v>
      </x:c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</x:row>
    <x:row r="268">
      <x:c r="A268" s="1" t="n">
        <x:v>35</x:v>
      </x:c>
      <x:c r="B268" s="1" t="str">
        <x:v>27115</x:v>
      </x:c>
      <x:c r="C268" s="1"/>
      <x:c r="D268" s="1" t="str">
        <x:v>S0102</x:v>
      </x:c>
      <x:c r="E268" s="3" t="d">
        <x:v>2027-05-20T00:00:00.000Z</x:v>
      </x:c>
      <x:c r="F268" s="1" t="str">
        <x:v>-99.0</x:v>
      </x:c>
      <x:c r="G268" s="1" t="str">
        <x:v>T</x:v>
      </x:c>
      <x:c r="H268" s="1" t="str">
        <x:v>MT</x:v>
      </x:c>
      <x:c r="I268" s="1"/>
      <x:c r="J268" s="1"/>
      <x:c r="K268" s="1"/>
      <x:c r="L268" s="1" t="n">
        <x:v>25</x:v>
      </x:c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</x:row>
    <x:row r="269">
      <x:c r="A269" s="1" t="n">
        <x:v>41</x:v>
      </x:c>
      <x:c r="B269" s="1" t="str">
        <x:v> 2027-04-25</x:v>
      </x:c>
      <x:c r="C269" s="1"/>
      <x:c r="D269" s="1" t="str">
        <x:v>S0102</x:v>
      </x:c>
      <x:c r="E269" s="1" t="str">
        <x:v>2027-5-20</x:v>
      </x:c>
      <x:c r="F269" s="1"/>
      <x:c r="G269" s="1" t="str">
        <x:v>T</x:v>
      </x:c>
      <x:c r="H269" s="1" t="str">
        <x:v>MT</x:v>
      </x:c>
      <x:c r="I269" s="1" t="str">
        <x:v>UNKNOWN</x:v>
      </x:c>
      <x:c r="J269" s="1"/>
      <x:c r="K269" s="1"/>
      <x:c r="L269" s="1" t="n">
        <x:v>25</x:v>
      </x:c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</x:row>
    <x:row r="271">
      <x:c r="A271" s="1" t="str">
        <x:v>! Section</x:v>
      </x:c>
      <x:c r="B271" s="1" t="str">
        <x:v>Soil_layer_observations_summary</x:v>
      </x:c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</x:row>
    <x:row r="272">
      <x:c r="A272" s="1" t="str">
        <x:v>! Definitions</x:v>
      </x:c>
      <x:c r="B272" s="1" t="str">
        <x:v>Soil P at maturity</x:v>
      </x:c>
      <x:c r="C272" s="1"/>
      <x:c r="D272" s="1" t="str">
        <x:v>N uptake during season</x:v>
      </x:c>
      <x:c r="E272" s="1" t="str">
        <x:v>N leached up to harvest maturity, from bottom of soil profile</x:v>
      </x:c>
      <x:c r="F272" s="1" t="str">
        <x:v>N, inorganic, in soil at harvest maturity</x:v>
      </x:c>
      <x:c r="G272" s="1" t="str">
        <x:v>Soil water, extractable at maturity</x:v>
      </x:c>
      <x:c r="H272" s="1" t="str">
        <x:v>pH of soil in water, from in-field sample</x:v>
      </x:c>
      <x:c r="I272" s="1" t="str">
        <x:v>Nitrogen, total soil, total</x:v>
      </x:c>
      <x:c r="J272" s="1" t="str">
        <x:v>Organic carbon expressed as g[C]/100 g[soil]</x:v>
      </x:c>
      <x:c r="K272" s="1" t="str">
        <x:v>Soil bulk density, moist, determined on field sample</x:v>
      </x:c>
      <x:c r="L272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M272" s="1" t="str">
        <x:v>Soil layer depth to lower boundary of sample (bottom)</x:v>
      </x:c>
      <x:c r="N272" s="1" t="str">
        <x:v>Soil layer depth to upper boundary of sample (top)</x:v>
      </x:c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</x:row>
    <x:row r="273">
      <x:c r="A273" s="1" t="str">
        <x:v>! Units</x:v>
      </x:c>
      <x:c r="B273" s="1" t="str">
        <x:v>kg/ha</x:v>
      </x:c>
      <x:c r="C273" s="1"/>
      <x:c r="D273" s="1" t="str">
        <x:v>kg/ha</x:v>
      </x:c>
      <x:c r="E273" s="1" t="str">
        <x:v>kg/ha</x:v>
      </x:c>
      <x:c r="F273" s="1" t="str">
        <x:v>kg/ha</x:v>
      </x:c>
      <x:c r="G273" s="1" t="str">
        <x:v>mm</x:v>
      </x:c>
      <x:c r="H273" s="1" t="str">
        <x:v>number</x:v>
      </x:c>
      <x:c r="I273" s="1" t="str">
        <x:v>%</x:v>
      </x:c>
      <x:c r="J273" s="1" t="str">
        <x:v>%</x:v>
      </x:c>
      <x:c r="K273" s="1" t="str">
        <x:v>g/cm3</x:v>
      </x:c>
      <x:c r="L273" s="1" t="str">
        <x:v>text</x:v>
      </x:c>
      <x:c r="M273" s="1" t="str">
        <x:v>cm</x:v>
      </x:c>
      <x:c r="N273" s="1" t="str">
        <x:v>cm</x:v>
      </x:c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</x:row>
    <x:row r="274">
      <x:c r="A274" s="2" t="str">
        <x:v>%</x:v>
      </x:c>
      <x:c r="B274" s="2" t="str">
        <x:v>slpam</x:v>
      </x:c>
      <x:c r="C274" s="2"/>
      <x:c r="D274" s="2" t="str">
        <x:v>NUCM</x:v>
      </x:c>
      <x:c r="E274" s="2" t="str">
        <x:v> NLCM </x:v>
      </x:c>
      <x:c r="F274" s="2" t="str">
        <x:v>niam</x:v>
      </x:c>
      <x:c r="G274" s="2" t="str">
        <x:v>SWXM</x:v>
      </x:c>
      <x:c r="H274" s="2" t="str">
        <x:v>SAPHW</x:v>
      </x:c>
      <x:c r="I274" s="2" t="str">
        <x:v>sani</x:v>
      </x:c>
      <x:c r="J274" s="2" t="str">
        <x:v> SAOC </x:v>
      </x:c>
      <x:c r="K274" s="2" t="str">
        <x:v>SABDM</x:v>
      </x:c>
      <x:c r="L274" s="2" t="str">
        <x:v>grppls</x:v>
      </x:c>
      <x:c r="M274" s="2" t="str">
        <x:v>SLDLB</x:v>
      </x:c>
      <x:c r="N274" s="2" t="str">
        <x:v>SLDUB</x:v>
      </x:c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</x:row>
    <x:row r="275">
      <x:c r="A275" s="1" t="n">
        <x:v>11</x:v>
      </x:c>
      <x:c r="B275" s="1"/>
      <x:c r="C275" s="1"/>
      <x:c r="D275" s="1"/>
      <x:c r="E275" s="1" t="n">
        <x:v>7.6</x:v>
      </x:c>
      <x:c r="F275" s="1" t="n">
        <x:v>30</x:v>
      </x:c>
      <x:c r="G275" s="1" t="n">
        <x:v>69</x:v>
      </x:c>
      <x:c r="H275" s="1"/>
      <x:c r="I275" s="1"/>
      <x:c r="J275" s="1" t="str">
        <x:v>-99</x:v>
      </x:c>
      <x:c r="K275" s="1"/>
      <x:c r="L275" s="1" t="str">
        <x:v>11</x:v>
      </x:c>
      <x:c r="M275" s="1" t="str">
        <x:v>-99.0</x:v>
      </x:c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</x:row>
    <x:row r="276">
      <x:c r="A276" s="1" t="n">
        <x:v>29</x:v>
      </x:c>
      <x:c r="B276" s="1"/>
      <x:c r="C276" s="1"/>
      <x:c r="D276" s="1" t="n">
        <x:v>114</x:v>
      </x:c>
      <x:c r="E276" s="1"/>
      <x:c r="F276" s="1" t="n">
        <x:v>33</x:v>
      </x:c>
      <x:c r="G276" s="1"/>
      <x:c r="H276" s="1"/>
      <x:c r="I276" s="1"/>
      <x:c r="J276" s="1"/>
      <x:c r="K276" s="1"/>
      <x:c r="L276" s="1" t="str">
        <x:v>29</x:v>
      </x:c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</x:row>
    <x:row r="277">
      <x:c r="A277" s="1" t="n">
        <x:v>17</x:v>
      </x:c>
      <x:c r="B277" s="1" t="n">
        <x:v>48</x:v>
      </x:c>
      <x:c r="C277" s="1"/>
      <x:c r="D277" s="1"/>
      <x:c r="E277" s="1"/>
      <x:c r="F277" s="1" t="n">
        <x:v>36</x:v>
      </x:c>
      <x:c r="G277" s="1" t="n">
        <x:v>65</x:v>
      </x:c>
      <x:c r="H277" s="1"/>
      <x:c r="I277" s="1"/>
      <x:c r="J277" s="1"/>
      <x:c r="K277" s="1" t="str">
        <x:v>-99.0</x:v>
      </x:c>
      <x:c r="L277" s="1" t="str">
        <x:v>17</x:v>
      </x:c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</x:row>
    <x:row r="278">
      <x:c r="A278" s="1" t="n">
        <x:v>35</x:v>
      </x:c>
      <x:c r="B278" s="1"/>
      <x:c r="C278" s="1"/>
      <x:c r="D278" s="1" t="str">
        <x:v>-99.0</x:v>
      </x:c>
      <x:c r="E278" s="1" t="n">
        <x:v>10</x:v>
      </x:c>
      <x:c r="F278" s="1" t="n">
        <x:v>39</x:v>
      </x:c>
      <x:c r="G278" s="1"/>
      <x:c r="H278" s="1"/>
      <x:c r="I278" s="1"/>
      <x:c r="J278" s="1"/>
      <x:c r="K278" s="1" t="str">
        <x:v>-99.0</x:v>
      </x:c>
      <x:c r="L278" s="1" t="str">
        <x:v>35</x:v>
      </x:c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</x:row>
    <x:row r="279">
      <x:c r="A279" s="1" t="n">
        <x:v>23</x:v>
      </x:c>
      <x:c r="B279" s="1"/>
      <x:c r="C279" s="1"/>
      <x:c r="D279" s="1" t="n">
        <x:v>138</x:v>
      </x:c>
      <x:c r="E279" s="1"/>
      <x:c r="F279" s="1" t="n">
        <x:v>42</x:v>
      </x:c>
      <x:c r="G279" s="1" t="n">
        <x:v>61</x:v>
      </x:c>
      <x:c r="H279" s="1"/>
      <x:c r="I279" s="1" t="str">
        <x:v>-99</x:v>
      </x:c>
      <x:c r="J279" s="1"/>
      <x:c r="K279" s="1" t="str">
        <x:v>-99</x:v>
      </x:c>
      <x:c r="L279" s="1" t="str">
        <x:v>23</x:v>
      </x:c>
      <x:c r="M279" s="1" t="str">
        <x:v>-99.0</x:v>
      </x:c>
      <x:c r="N279" s="1" t="str">
        <x:v>-99.0</x:v>
      </x:c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</x:row>
    <x:row r="280">
      <x:c r="A280" s="1" t="n">
        <x:v>41</x:v>
      </x:c>
      <x:c r="B280" s="1" t="n">
        <x:v>48</x:v>
      </x:c>
      <x:c r="C280" s="1"/>
      <x:c r="D280" s="1"/>
      <x:c r="E280" s="1"/>
      <x:c r="F280" s="1" t="n">
        <x:v>45</x:v>
      </x:c>
      <x:c r="G280" s="1"/>
      <x:c r="H280" s="1"/>
      <x:c r="I280" s="1"/>
      <x:c r="J280" s="1"/>
      <x:c r="K280" s="1"/>
      <x:c r="L280" s="1" t="str">
        <x:v>41</x:v>
      </x:c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</x:row>
    <x:row r="281">
      <x:c r="A281" s="1" t="n">
        <x:v>11</x:v>
      </x:c>
      <x:c r="B281" s="1"/>
      <x:c r="C281" s="1"/>
      <x:c r="D281" s="1"/>
      <x:c r="E281" s="1"/>
      <x:c r="F281" s="1"/>
      <x:c r="G281" s="1" t="str">
        <x:v>-99</x:v>
      </x:c>
      <x:c r="H281" s="1" t="n">
        <x:v>6.82</x:v>
      </x:c>
      <x:c r="I281" s="1" t="n">
        <x:v>0.172</x:v>
      </x:c>
      <x:c r="J281" s="1" t="n">
        <x:v>2.06</x:v>
      </x:c>
      <x:c r="K281" s="1"/>
      <x:c r="L281" s="1" t="str">
        <x:v>11;17;23</x:v>
      </x:c>
      <x:c r="M281" s="1" t="n">
        <x:v>20</x:v>
      </x:c>
      <x:c r="N281" s="1" t="n">
        <x:v>0</x:v>
      </x:c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</x:row>
    <x:row r="282">
      <x:c r="A282" s="1" t="n">
        <x:v>11</x:v>
      </x:c>
      <x:c r="B282" s="1"/>
      <x:c r="C282" s="1"/>
      <x:c r="D282" s="1" t="str">
        <x:v>-99</x:v>
      </x:c>
      <x:c r="E282" s="1"/>
      <x:c r="F282" s="1"/>
      <x:c r="G282" s="1"/>
      <x:c r="H282" s="1" t="n">
        <x:v>6.72</x:v>
      </x:c>
      <x:c r="I282" s="1" t="n">
        <x:v>0.152</x:v>
      </x:c>
      <x:c r="J282" s="1" t="n">
        <x:v>1.76</x:v>
      </x:c>
      <x:c r="K282" s="1"/>
      <x:c r="L282" s="1" t="str">
        <x:v>11;17;23</x:v>
      </x:c>
      <x:c r="M282" s="1" t="n">
        <x:v>40</x:v>
      </x:c>
      <x:c r="N282" s="1" t="n">
        <x:v>20</x:v>
      </x:c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</x:row>
    <x:row r="283">
      <x:c r="A283" s="1" t="n">
        <x:v>29</x:v>
      </x:c>
      <x:c r="B283" s="1"/>
      <x:c r="C283" s="1"/>
      <x:c r="D283" s="1"/>
      <x:c r="E283" s="1"/>
      <x:c r="F283" s="1"/>
      <x:c r="G283" s="1"/>
      <x:c r="H283" s="1" t="n">
        <x:v>6.82</x:v>
      </x:c>
      <x:c r="I283" s="1" t="n">
        <x:v>0.172</x:v>
      </x:c>
      <x:c r="J283" s="1" t="n">
        <x:v>2.08</x:v>
      </x:c>
      <x:c r="K283" s="1"/>
      <x:c r="L283" s="1" t="str">
        <x:v>29;35;41</x:v>
      </x:c>
      <x:c r="M283" s="1" t="n">
        <x:v>20</x:v>
      </x:c>
      <x:c r="N283" s="1" t="n">
        <x:v>0</x:v>
      </x:c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</x:row>
    <x:row r="284">
      <x:c r="A284" s="1" t="n">
        <x:v>29</x:v>
      </x:c>
      <x:c r="B284" s="1"/>
      <x:c r="C284" s="1"/>
      <x:c r="D284" s="1"/>
      <x:c r="E284" s="1"/>
      <x:c r="F284" s="1"/>
      <x:c r="G284" s="1"/>
      <x:c r="H284" s="1" t="n">
        <x:v>6.72</x:v>
      </x:c>
      <x:c r="I284" s="1" t="n">
        <x:v>0.152</x:v>
      </x:c>
      <x:c r="J284" s="1" t="n">
        <x:v>1.78</x:v>
      </x:c>
      <x:c r="K284" s="1"/>
      <x:c r="L284" s="1" t="str">
        <x:v>29;35;41</x:v>
      </x:c>
      <x:c r="M284" s="1" t="n">
        <x:v>40</x:v>
      </x:c>
      <x:c r="N284" s="1" t="n">
        <x:v>20</x:v>
      </x:c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</x:row>
    <x:row r="286">
      <x:c r="A286" s="1" t="str">
        <x:v>! Section</x:v>
      </x:c>
      <x:c r="B286" s="1" t="str">
        <x:v>Soil_layer_observations_timeseries</x:v>
      </x:c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</x:row>
    <x:row r="287">
      <x:c r="A287" s="1" t="str">
        <x:v>! Definitions</x:v>
      </x:c>
      <x:c r="B287" s="1" t="str">
        <x:v>Date of measurement; use YYYY-MM-DD.</x:v>
      </x:c>
      <x:c r="C287" s="1"/>
      <x:c r="D287" s="1" t="str">
        <x:v>Soil layer depth to upper boundary of sample (top)</x:v>
      </x:c>
      <x:c r="E287" s="1" t="str">
        <x:v>Soil layer depth to lower boundary of sample (bottom)</x:v>
      </x:c>
      <x:c r="F287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G287" s="1" t="str">
        <x:v>Phosphorus, extractable</x:v>
      </x:c>
      <x:c r="H287" s="1" t="str">
        <x:v>Soil water measured at a specified depth</x:v>
      </x:c>
      <x:c r="I287" s="1" t="str">
        <x:v>Root length_density (ratio of length to soil volume) in a soil layer</x:v>
      </x:c>
      <x:c r="J287" s="1" t="str">
        <x:v>NO3[N], for a given soil layer</x:v>
      </x:c>
      <x:c r="K287" s="1" t="str">
        <x:v>NH4[N], for a given soil layer</x:v>
      </x:c>
      <x:c r="L287" s="1" t="str">
        <x:v>Soil temperature of given soil layer</x:v>
      </x:c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</x:row>
    <x:row r="288">
      <x:c r="A288" s="1" t="str">
        <x:v>! Units</x:v>
      </x:c>
      <x:c r="B288" s="1" t="str">
        <x:v>date</x:v>
      </x:c>
      <x:c r="C288" s="1"/>
      <x:c r="D288" s="1" t="str">
        <x:v>cm</x:v>
      </x:c>
      <x:c r="E288" s="1" t="str">
        <x:v>cm</x:v>
      </x:c>
      <x:c r="F288" s="1" t="str">
        <x:v>text</x:v>
      </x:c>
      <x:c r="G288" s="1" t="str">
        <x:v>mg/kg</x:v>
      </x:c>
      <x:c r="H288" s="1" t="str">
        <x:v>cm3/cm3</x:v>
      </x:c>
      <x:c r="I288" s="1" t="str">
        <x:v>cm/cm3</x:v>
      </x:c>
      <x:c r="J288" s="1" t="str">
        <x:v>g/Mg</x:v>
      </x:c>
      <x:c r="K288" s="1" t="str">
        <x:v>g/Mg</x:v>
      </x:c>
      <x:c r="L288" s="1" t="str">
        <x:v>degree_C</x:v>
      </x:c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</x:row>
    <x:row r="289">
      <x:c r="A289" s="2" t="str">
        <x:v>%</x:v>
      </x:c>
      <x:c r="B289" s="2" t="str">
        <x:v>DATE</x:v>
      </x:c>
      <x:c r="C289" s="2"/>
      <x:c r="D289" s="2" t="str">
        <x:v>SLDUB</x:v>
      </x:c>
      <x:c r="E289" s="2" t="str">
        <x:v>sldlb</x:v>
      </x:c>
      <x:c r="F289" s="2" t="str">
        <x:v>GRPPLS</x:v>
      </x:c>
      <x:c r="G289" s="2" t="str">
        <x:v> SLPX </x:v>
      </x:c>
      <x:c r="H289" s="2" t="str">
        <x:v>swld</x:v>
      </x:c>
      <x:c r="I289" s="2" t="str">
        <x:v>RLDLD</x:v>
      </x:c>
      <x:c r="J289" s="2" t="str">
        <x:v>NOSLD</x:v>
      </x:c>
      <x:c r="K289" s="2" t="str">
        <x:v>nhsld</x:v>
      </x:c>
      <x:c r="L289" s="2" t="str">
        <x:v> TMPSLD </x:v>
      </x:c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</x:row>
    <x:row r="290">
      <x:c r="A290" s="1"/>
      <x:c r="B290" s="1" t="str">
        <x:v>26157</x:v>
      </x:c>
      <x:c r="C290" s="1"/>
      <x:c r="D290" s="1" t="n">
        <x:v>0</x:v>
      </x:c>
      <x:c r="E290" s="1" t="n">
        <x:v>20</x:v>
      </x:c>
      <x:c r="F290" s="1" t="str">
        <x:v>11</x:v>
      </x:c>
      <x:c r="G290" s="1"/>
      <x:c r="H290" s="1" t="n">
        <x:v>0.253</x:v>
      </x:c>
      <x:c r="I290" s="1"/>
      <x:c r="J290" s="1" t="n">
        <x:v>6.8</x:v>
      </x:c>
      <x:c r="K290" s="1" t="n">
        <x:v>1.74</x:v>
      </x:c>
      <x:c r="L290" s="1" t="n">
        <x:v>19.93</x:v>
      </x:c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</x:row>
    <x:row r="291">
      <x:c r="A291" s="1" t="n">
        <x:v>11</x:v>
      </x:c>
      <x:c r="B291" s="3" t="d">
        <x:v>2026-06-06T00:00:00.000Z</x:v>
      </x:c>
      <x:c r="C291" s="1"/>
      <x:c r="D291" s="1" t="n">
        <x:v>20</x:v>
      </x:c>
      <x:c r="E291" s="1" t="n">
        <x:v>40</x:v>
      </x:c>
      <x:c r="F291" s="1" t="str">
        <x:v>11</x:v>
      </x:c>
      <x:c r="G291" s="1"/>
      <x:c r="H291" s="1" t="n">
        <x:v>0.263</x:v>
      </x:c>
      <x:c r="I291" s="1"/>
      <x:c r="J291" s="1" t="n">
        <x:v>6.3</x:v>
      </x:c>
      <x:c r="K291" s="1" t="n">
        <x:v>1.58</x:v>
      </x:c>
      <x:c r="L291" s="1" t="n">
        <x:v>19.33</x:v>
      </x:c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</x:row>
    <x:row r="292">
      <x:c r="A292" s="1" t="n">
        <x:v>11</x:v>
      </x:c>
      <x:c r="B292" s="1" t="str">
        <x:v> 2026-07-09</x:v>
      </x:c>
      <x:c r="C292" s="1"/>
      <x:c r="D292" s="1" t="n">
        <x:v>0</x:v>
      </x:c>
      <x:c r="E292" s="1" t="n">
        <x:v>20</x:v>
      </x:c>
      <x:c r="F292" s="1" t="str">
        <x:v>11</x:v>
      </x:c>
      <x:c r="G292" s="1"/>
      <x:c r="H292" s="1" t="n">
        <x:v>0.255</x:v>
      </x:c>
      <x:c r="I292" s="1"/>
      <x:c r="J292" s="1" t="n">
        <x:v>5.9</x:v>
      </x:c>
      <x:c r="K292" s="1" t="n">
        <x:v>1.65</x:v>
      </x:c>
      <x:c r="L292" s="1" t="n">
        <x:v>22.4</x:v>
      </x:c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</x:row>
    <x:row r="293">
      <x:c r="A293" s="1" t="n">
        <x:v>11</x:v>
      </x:c>
      <x:c r="B293" s="1" t="str">
        <x:v>2026-7-9</x:v>
      </x:c>
      <x:c r="C293" s="1"/>
      <x:c r="D293" s="1" t="n">
        <x:v>20</x:v>
      </x:c>
      <x:c r="E293" s="1" t="n">
        <x:v>40</x:v>
      </x:c>
      <x:c r="F293" s="1" t="str">
        <x:v>11</x:v>
      </x:c>
      <x:c r="G293" s="1"/>
      <x:c r="H293" s="1" t="n">
        <x:v>0.265</x:v>
      </x:c>
      <x:c r="I293" s="1"/>
      <x:c r="J293" s="1" t="n">
        <x:v>5.4</x:v>
      </x:c>
      <x:c r="K293" s="1" t="n">
        <x:v>1.49</x:v>
      </x:c>
      <x:c r="L293" s="1" t="n">
        <x:v>21.8</x:v>
      </x:c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</x:row>
    <x:row r="294">
      <x:c r="A294" s="1" t="n">
        <x:v>11</x:v>
      </x:c>
      <x:c r="B294" s="1" t="str">
        <x:v>26229</x:v>
      </x:c>
      <x:c r="C294" s="1"/>
      <x:c r="D294" s="1" t="n">
        <x:v>0</x:v>
      </x:c>
      <x:c r="E294" s="1" t="n">
        <x:v>20</x:v>
      </x:c>
      <x:c r="F294" s="1" t="str">
        <x:v>11</x:v>
      </x:c>
      <x:c r="G294" s="1"/>
      <x:c r="H294" s="1" t="n">
        <x:v>0.226</x:v>
      </x:c>
      <x:c r="I294" s="1"/>
      <x:c r="J294" s="1" t="n">
        <x:v>4.85</x:v>
      </x:c>
      <x:c r="K294" s="1" t="n">
        <x:v>1.54</x:v>
      </x:c>
      <x:c r="L294" s="1" t="n">
        <x:v>19.12</x:v>
      </x:c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</x:row>
    <x:row r="295">
      <x:c r="A295" s="1" t="n">
        <x:v>11</x:v>
      </x:c>
      <x:c r="B295" s="3" t="d">
        <x:v>2026-08-17T00:00:00.000Z</x:v>
      </x:c>
      <x:c r="C295" s="1"/>
      <x:c r="D295" s="1" t="n">
        <x:v>20</x:v>
      </x:c>
      <x:c r="E295" s="1" t="n">
        <x:v>40</x:v>
      </x:c>
      <x:c r="F295" s="1" t="str">
        <x:v>11</x:v>
      </x:c>
      <x:c r="G295" s="1"/>
      <x:c r="H295" s="1" t="n">
        <x:v>0.236</x:v>
      </x:c>
      <x:c r="I295" s="1"/>
      <x:c r="J295" s="1" t="n">
        <x:v>4.35</x:v>
      </x:c>
      <x:c r="K295" s="1" t="n">
        <x:v>1.39</x:v>
      </x:c>
      <x:c r="L295" s="1" t="n">
        <x:v>18.52</x:v>
      </x:c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</x:row>
    <x:row r="296">
      <x:c r="A296" s="1" t="n">
        <x:v>29</x:v>
      </x:c>
      <x:c r="B296" s="1" t="str">
        <x:v> 2027-06-13</x:v>
      </x:c>
      <x:c r="C296" s="1"/>
      <x:c r="D296" s="1" t="n">
        <x:v>0</x:v>
      </x:c>
      <x:c r="E296" s="1" t="n">
        <x:v>20</x:v>
      </x:c>
      <x:c r="F296" s="1" t="str">
        <x:v>29</x:v>
      </x:c>
      <x:c r="G296" s="1" t="str">
        <x:v>-99.0</x:v>
      </x:c>
      <x:c r="H296" s="1" t="n">
        <x:v>0.256</x:v>
      </x:c>
      <x:c r="I296" s="1" t="n">
        <x:v>0.694</x:v>
      </x:c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</x:row>
    <x:row r="297">
      <x:c r="A297" s="1" t="n">
        <x:v>29</x:v>
      </x:c>
      <x:c r="B297" s="1" t="str">
        <x:v>2027-6-13</x:v>
      </x:c>
      <x:c r="C297" s="1"/>
      <x:c r="D297" s="1" t="n">
        <x:v>20</x:v>
      </x:c>
      <x:c r="E297" s="1" t="n">
        <x:v>40</x:v>
      </x:c>
      <x:c r="F297" s="1" t="str">
        <x:v>29</x:v>
      </x:c>
      <x:c r="G297" s="1"/>
      <x:c r="H297" s="1" t="n">
        <x:v>0.266</x:v>
      </x:c>
      <x:c r="I297" s="1" t="n">
        <x:v>0.416</x:v>
      </x:c>
      <x:c r="J297" s="1"/>
      <x:c r="K297" s="1" t="str">
        <x:v>-99</x:v>
      </x:c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</x:row>
    <x:row r="298">
      <x:c r="A298" s="1" t="n">
        <x:v>29</x:v>
      </x:c>
      <x:c r="B298" s="1" t="str">
        <x:v>27200</x:v>
      </x:c>
      <x:c r="C298" s="1"/>
      <x:c r="D298" s="1" t="n">
        <x:v>0</x:v>
      </x:c>
      <x:c r="E298" s="1" t="n">
        <x:v>20</x:v>
      </x:c>
      <x:c r="F298" s="1" t="str">
        <x:v>29</x:v>
      </x:c>
      <x:c r="G298" s="1"/>
      <x:c r="H298" s="1" t="n">
        <x:v>0.258</x:v>
      </x:c>
      <x:c r="I298" s="1" t="n">
        <x:v>1.18</x:v>
      </x:c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</x:row>
    <x:row r="299">
      <x:c r="A299" s="1" t="n">
        <x:v>29</x:v>
      </x:c>
      <x:c r="B299" s="3" t="d">
        <x:v>2027-07-19T00:00:00.000Z</x:v>
      </x:c>
      <x:c r="C299" s="1"/>
      <x:c r="D299" s="1" t="n">
        <x:v>20</x:v>
      </x:c>
      <x:c r="E299" s="1" t="n">
        <x:v>40</x:v>
      </x:c>
      <x:c r="F299" s="1" t="str">
        <x:v>29</x:v>
      </x:c>
      <x:c r="G299" s="1"/>
      <x:c r="H299" s="1" t="n">
        <x:v>0.268</x:v>
      </x:c>
      <x:c r="I299" s="1" t="n">
        <x:v>0.708</x:v>
      </x:c>
      <x:c r="J299" s="1"/>
      <x:c r="K299" s="1" t="str">
        <x:v>-99</x:v>
      </x:c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</x:row>
    <x:row r="300">
      <x:c r="A300" s="1" t="n">
        <x:v>29</x:v>
      </x:c>
      <x:c r="B300" s="1" t="str">
        <x:v> 2027-08-30</x:v>
      </x:c>
      <x:c r="C300" s="1"/>
      <x:c r="D300" s="1" t="n">
        <x:v>0</x:v>
      </x:c>
      <x:c r="E300" s="1" t="n">
        <x:v>20</x:v>
      </x:c>
      <x:c r="F300" s="1" t="str">
        <x:v>29</x:v>
      </x:c>
      <x:c r="G300" s="1"/>
      <x:c r="H300" s="1" t="n">
        <x:v>0.229</x:v>
      </x:c>
      <x:c r="I300" s="1" t="n">
        <x:v>0.536</x:v>
      </x:c>
      <x:c r="J300" s="1"/>
      <x:c r="K300" s="1" t="str">
        <x:v>-99.0</x:v>
      </x:c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</x:row>
    <x:row r="301">
      <x:c r="A301" s="1" t="n">
        <x:v>29</x:v>
      </x:c>
      <x:c r="B301" s="1" t="str">
        <x:v>2027-8-30</x:v>
      </x:c>
      <x:c r="C301" s="1"/>
      <x:c r="D301" s="1" t="n">
        <x:v>20</x:v>
      </x:c>
      <x:c r="E301" s="1" t="n">
        <x:v>40</x:v>
      </x:c>
      <x:c r="F301" s="1" t="str">
        <x:v>29</x:v>
      </x:c>
      <x:c r="G301" s="1"/>
      <x:c r="H301" s="1" t="n">
        <x:v>0.239</x:v>
      </x:c>
      <x:c r="I301" s="1" t="n">
        <x:v>0.321</x:v>
      </x:c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</x:row>
    <x:row r="302">
      <x:c r="A302" s="1" t="n">
        <x:v>17</x:v>
      </x:c>
      <x:c r="B302" s="1" t="str">
        <x:v>26157</x:v>
      </x:c>
      <x:c r="C302" s="1"/>
      <x:c r="D302" s="1" t="n">
        <x:v>0</x:v>
      </x:c>
      <x:c r="E302" s="1" t="n">
        <x:v>20</x:v>
      </x:c>
      <x:c r="F302" s="1" t="str">
        <x:v>17</x:v>
      </x:c>
      <x:c r="G302" s="1" t="n">
        <x:v>26.8</x:v>
      </x:c>
      <x:c r="H302" s="1" t="n">
        <x:v>0.259</x:v>
      </x:c>
      <x:c r="I302" s="1"/>
      <x:c r="J302" s="1" t="n">
        <x:v>8.2</x:v>
      </x:c>
      <x:c r="K302" s="1" t="n">
        <x:v>1.74</x:v>
      </x:c>
      <x:c r="L302" s="1" t="n">
        <x:v>19.93</x:v>
      </x:c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</x:row>
    <x:row r="303">
      <x:c r="A303" s="1" t="n">
        <x:v>17</x:v>
      </x:c>
      <x:c r="B303" s="3" t="d">
        <x:v>2026-06-06T00:00:00.000Z</x:v>
      </x:c>
      <x:c r="C303" s="1"/>
      <x:c r="D303" s="1" t="n">
        <x:v>20</x:v>
      </x:c>
      <x:c r="E303" s="1" t="n">
        <x:v>40</x:v>
      </x:c>
      <x:c r="F303" s="1" t="str">
        <x:v>17</x:v>
      </x:c>
      <x:c r="G303" s="1" t="n">
        <x:v>24.8</x:v>
      </x:c>
      <x:c r="H303" s="1" t="n">
        <x:v>0.269</x:v>
      </x:c>
      <x:c r="I303" s="1"/>
      <x:c r="J303" s="1" t="n">
        <x:v>7.7</x:v>
      </x:c>
      <x:c r="K303" s="1" t="n">
        <x:v>1.58</x:v>
      </x:c>
      <x:c r="L303" s="1" t="n">
        <x:v>19.33</x:v>
      </x:c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</x:row>
    <x:row r="304">
      <x:c r="A304" s="1" t="n">
        <x:v>17</x:v>
      </x:c>
      <x:c r="B304" s="1" t="str">
        <x:v> 2026-07-09</x:v>
      </x:c>
      <x:c r="C304" s="1"/>
      <x:c r="D304" s="1" t="n">
        <x:v>0</x:v>
      </x:c>
      <x:c r="E304" s="1" t="n">
        <x:v>20</x:v>
      </x:c>
      <x:c r="F304" s="1" t="str">
        <x:v>17</x:v>
      </x:c>
      <x:c r="G304" s="1" t="n">
        <x:v>26.5</x:v>
      </x:c>
      <x:c r="H304" s="1" t="n">
        <x:v>0.261</x:v>
      </x:c>
      <x:c r="I304" s="1"/>
      <x:c r="J304" s="1" t="n">
        <x:v>7.3</x:v>
      </x:c>
      <x:c r="K304" s="1" t="n">
        <x:v>1.65</x:v>
      </x:c>
      <x:c r="L304" s="1" t="n">
        <x:v>22.4</x:v>
      </x:c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</x:row>
    <x:row r="305">
      <x:c r="A305" s="1" t="n">
        <x:v>17</x:v>
      </x:c>
      <x:c r="B305" s="1" t="str">
        <x:v>2026-7-9</x:v>
      </x:c>
      <x:c r="C305" s="1"/>
      <x:c r="D305" s="1" t="n">
        <x:v>20</x:v>
      </x:c>
      <x:c r="E305" s="1" t="n">
        <x:v>40</x:v>
      </x:c>
      <x:c r="F305" s="1" t="str">
        <x:v>17</x:v>
      </x:c>
      <x:c r="G305" s="1" t="n">
        <x:v>24.5</x:v>
      </x:c>
      <x:c r="H305" s="1" t="n">
        <x:v>0.271</x:v>
      </x:c>
      <x:c r="I305" s="1"/>
      <x:c r="J305" s="1" t="n">
        <x:v>6.8</x:v>
      </x:c>
      <x:c r="K305" s="1" t="n">
        <x:v>1.49</x:v>
      </x:c>
      <x:c r="L305" s="1" t="n">
        <x:v>21.8</x:v>
      </x:c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</x:row>
    <x:row r="306">
      <x:c r="A306" s="1" t="n">
        <x:v>17</x:v>
      </x:c>
      <x:c r="B306" s="1" t="str">
        <x:v>26229</x:v>
      </x:c>
      <x:c r="C306" s="1"/>
      <x:c r="D306" s="1" t="n">
        <x:v>0</x:v>
      </x:c>
      <x:c r="E306" s="1" t="n">
        <x:v>20</x:v>
      </x:c>
      <x:c r="F306" s="1" t="str">
        <x:v>17</x:v>
      </x:c>
      <x:c r="G306" s="1" t="n">
        <x:v>26.15</x:v>
      </x:c>
      <x:c r="H306" s="1" t="n">
        <x:v>0.232</x:v>
      </x:c>
      <x:c r="I306" s="1" t="str">
        <x:v>-99.0</x:v>
      </x:c>
      <x:c r="J306" s="1" t="n">
        <x:v>6.25</x:v>
      </x:c>
      <x:c r="K306" s="1" t="n">
        <x:v>1.54</x:v>
      </x:c>
      <x:c r="L306" s="1" t="n">
        <x:v>19.12</x:v>
      </x:c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</x:row>
    <x:row r="307">
      <x:c r="A307" s="1" t="n">
        <x:v>17</x:v>
      </x:c>
      <x:c r="B307" s="3" t="d">
        <x:v>2026-08-17T00:00:00.000Z</x:v>
      </x:c>
      <x:c r="C307" s="1"/>
      <x:c r="D307" s="1" t="n">
        <x:v>20</x:v>
      </x:c>
      <x:c r="E307" s="1" t="n">
        <x:v>40</x:v>
      </x:c>
      <x:c r="F307" s="1" t="str">
        <x:v>17</x:v>
      </x:c>
      <x:c r="G307" s="1" t="n">
        <x:v>24.15</x:v>
      </x:c>
      <x:c r="H307" s="1" t="n">
        <x:v>0.242</x:v>
      </x:c>
      <x:c r="I307" s="1"/>
      <x:c r="J307" s="1" t="n">
        <x:v>5.75</x:v>
      </x:c>
      <x:c r="K307" s="1" t="n">
        <x:v>1.39</x:v>
      </x:c>
      <x:c r="L307" s="1" t="n">
        <x:v>18.52</x:v>
      </x:c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</x:row>
    <x:row r="308">
      <x:c r="A308" s="1" t="n">
        <x:v>35</x:v>
      </x:c>
      <x:c r="B308" s="1" t="str">
        <x:v> 2027-06-13</x:v>
      </x:c>
      <x:c r="C308" s="1"/>
      <x:c r="D308" s="1" t="n">
        <x:v>0</x:v>
      </x:c>
      <x:c r="E308" s="1" t="n">
        <x:v>20</x:v>
      </x:c>
      <x:c r="F308" s="1" t="str">
        <x:v>35</x:v>
      </x:c>
      <x:c r="G308" s="1"/>
      <x:c r="H308" s="1" t="n">
        <x:v>0.253</x:v>
      </x:c>
      <x:c r="I308" s="1"/>
      <x:c r="J308" s="1" t="n">
        <x:v>8.9</x:v>
      </x:c>
      <x:c r="K308" s="1" t="n">
        <x:v>1.74</x:v>
      </x:c>
      <x:c r="L308" s="1" t="str">
        <x:v>-99</x:v>
      </x:c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</x:row>
    <x:row r="309">
      <x:c r="A309" s="1" t="n">
        <x:v>35</x:v>
      </x:c>
      <x:c r="B309" s="1" t="str">
        <x:v>2027-6-13</x:v>
      </x:c>
      <x:c r="C309" s="1"/>
      <x:c r="D309" s="1" t="n">
        <x:v>20</x:v>
      </x:c>
      <x:c r="E309" s="1" t="n">
        <x:v>40</x:v>
      </x:c>
      <x:c r="F309" s="1" t="str">
        <x:v>35</x:v>
      </x:c>
      <x:c r="G309" s="1"/>
      <x:c r="H309" s="1" t="n">
        <x:v>0.263</x:v>
      </x:c>
      <x:c r="I309" s="1"/>
      <x:c r="J309" s="1" t="n">
        <x:v>8.4</x:v>
      </x:c>
      <x:c r="K309" s="1" t="n">
        <x:v>1.58</x:v>
      </x:c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</x:row>
    <x:row r="310">
      <x:c r="A310" s="1" t="n">
        <x:v>35</x:v>
      </x:c>
      <x:c r="B310" s="1" t="str">
        <x:v>27200</x:v>
      </x:c>
      <x:c r="C310" s="1"/>
      <x:c r="D310" s="1" t="n">
        <x:v>0</x:v>
      </x:c>
      <x:c r="E310" s="1" t="n">
        <x:v>20</x:v>
      </x:c>
      <x:c r="F310" s="1" t="str">
        <x:v>35</x:v>
      </x:c>
      <x:c r="G310" s="1"/>
      <x:c r="H310" s="1" t="n">
        <x:v>0.255</x:v>
      </x:c>
      <x:c r="I310" s="1"/>
      <x:c r="J310" s="1" t="n">
        <x:v>8</x:v>
      </x:c>
      <x:c r="K310" s="1" t="n">
        <x:v>1.65</x:v>
      </x:c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</x:row>
    <x:row r="311">
      <x:c r="A311" s="1" t="n">
        <x:v>35</x:v>
      </x:c>
      <x:c r="B311" s="3" t="d">
        <x:v>2027-07-19T00:00:00.000Z</x:v>
      </x:c>
      <x:c r="C311" s="1"/>
      <x:c r="D311" s="1" t="n">
        <x:v>20</x:v>
      </x:c>
      <x:c r="E311" s="1" t="n">
        <x:v>40</x:v>
      </x:c>
      <x:c r="F311" s="1" t="str">
        <x:v>35</x:v>
      </x:c>
      <x:c r="G311" s="1" t="str">
        <x:v>-99.0</x:v>
      </x:c>
      <x:c r="H311" s="1" t="n">
        <x:v>0.265</x:v>
      </x:c>
      <x:c r="I311" s="1"/>
      <x:c r="J311" s="1" t="n">
        <x:v>7.5</x:v>
      </x:c>
      <x:c r="K311" s="1" t="n">
        <x:v>1.49</x:v>
      </x:c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</x:row>
    <x:row r="312">
      <x:c r="A312" s="1" t="n">
        <x:v>35</x:v>
      </x:c>
      <x:c r="B312" s="1" t="str">
        <x:v> 2027-08-30</x:v>
      </x:c>
      <x:c r="C312" s="1"/>
      <x:c r="D312" s="1" t="n">
        <x:v>0</x:v>
      </x:c>
      <x:c r="E312" s="1" t="n">
        <x:v>20</x:v>
      </x:c>
      <x:c r="F312" s="1" t="str">
        <x:v>35</x:v>
      </x:c>
      <x:c r="G312" s="1" t="str">
        <x:v>-99.0</x:v>
      </x:c>
      <x:c r="H312" s="1" t="n">
        <x:v>0.226</x:v>
      </x:c>
      <x:c r="I312" s="1"/>
      <x:c r="J312" s="1" t="n">
        <x:v>6.95</x:v>
      </x:c>
      <x:c r="K312" s="1" t="n">
        <x:v>1.54</x:v>
      </x:c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</x:row>
    <x:row r="313">
      <x:c r="A313" s="1" t="n">
        <x:v>35</x:v>
      </x:c>
      <x:c r="B313" s="1" t="str">
        <x:v>2027-8-30</x:v>
      </x:c>
      <x:c r="C313" s="1"/>
      <x:c r="D313" s="1" t="n">
        <x:v>20</x:v>
      </x:c>
      <x:c r="E313" s="1" t="n">
        <x:v>40</x:v>
      </x:c>
      <x:c r="F313" s="1" t="str">
        <x:v>35</x:v>
      </x:c>
      <x:c r="G313" s="1"/>
      <x:c r="H313" s="1" t="n">
        <x:v>0.236</x:v>
      </x:c>
      <x:c r="I313" s="1"/>
      <x:c r="J313" s="1" t="n">
        <x:v>6.45</x:v>
      </x:c>
      <x:c r="K313" s="1" t="n">
        <x:v>1.39</x:v>
      </x:c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</x:row>
    <x:row r="314">
      <x:c r="A314" s="1" t="n">
        <x:v>23</x:v>
      </x:c>
      <x:c r="B314" s="1" t="str">
        <x:v>26157</x:v>
      </x:c>
      <x:c r="C314" s="1"/>
      <x:c r="D314" s="1" t="n">
        <x:v>0</x:v>
      </x:c>
      <x:c r="E314" s="1" t="n">
        <x:v>20</x:v>
      </x:c>
      <x:c r="F314" s="1" t="str">
        <x:v>23</x:v>
      </x:c>
      <x:c r="G314" s="1"/>
      <x:c r="H314" s="1" t="n">
        <x:v>0.256</x:v>
      </x:c>
      <x:c r="I314" s="1" t="n">
        <x:v>0.694</x:v>
      </x:c>
      <x:c r="J314" s="1"/>
      <x:c r="K314" s="1"/>
      <x:c r="L314" s="1" t="n">
        <x:v>19.93</x:v>
      </x:c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</x:row>
    <x:row r="315">
      <x:c r="A315" s="1" t="n">
        <x:v>23</x:v>
      </x:c>
      <x:c r="B315" s="3" t="d">
        <x:v>2026-06-06T00:00:00.000Z</x:v>
      </x:c>
      <x:c r="C315" s="1"/>
      <x:c r="D315" s="1" t="n">
        <x:v>20</x:v>
      </x:c>
      <x:c r="E315" s="1" t="n">
        <x:v>40</x:v>
      </x:c>
      <x:c r="F315" s="1" t="str">
        <x:v>23</x:v>
      </x:c>
      <x:c r="G315" s="1"/>
      <x:c r="H315" s="1" t="n">
        <x:v>0.266</x:v>
      </x:c>
      <x:c r="I315" s="1" t="n">
        <x:v>0.416</x:v>
      </x:c>
      <x:c r="J315" s="1"/>
      <x:c r="K315" s="1"/>
      <x:c r="L315" s="1" t="n">
        <x:v>19.33</x:v>
      </x:c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</x:row>
    <x:row r="316">
      <x:c r="A316" s="1" t="n">
        <x:v>23</x:v>
      </x:c>
      <x:c r="B316" s="1" t="str">
        <x:v> 2026-07-09</x:v>
      </x:c>
      <x:c r="C316" s="1"/>
      <x:c r="D316" s="1" t="n">
        <x:v>0</x:v>
      </x:c>
      <x:c r="E316" s="1" t="n">
        <x:v>20</x:v>
      </x:c>
      <x:c r="F316" s="1" t="str">
        <x:v>23</x:v>
      </x:c>
      <x:c r="G316" s="1"/>
      <x:c r="H316" s="1" t="n">
        <x:v>0.258</x:v>
      </x:c>
      <x:c r="I316" s="1" t="n">
        <x:v>1.18</x:v>
      </x:c>
      <x:c r="J316" s="1" t="str">
        <x:v>-99</x:v>
      </x:c>
      <x:c r="K316" s="1"/>
      <x:c r="L316" s="1" t="n">
        <x:v>22.4</x:v>
      </x:c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</x:row>
    <x:row r="317">
      <x:c r="A317" s="1" t="n">
        <x:v>23</x:v>
      </x:c>
      <x:c r="B317" s="1" t="str">
        <x:v>2026-7-9</x:v>
      </x:c>
      <x:c r="C317" s="1"/>
      <x:c r="D317" s="1" t="n">
        <x:v>20</x:v>
      </x:c>
      <x:c r="E317" s="1" t="n">
        <x:v>40</x:v>
      </x:c>
      <x:c r="F317" s="1" t="str">
        <x:v>23</x:v>
      </x:c>
      <x:c r="G317" s="1" t="str">
        <x:v>-99.0</x:v>
      </x:c>
      <x:c r="H317" s="1" t="n">
        <x:v>0.268</x:v>
      </x:c>
      <x:c r="I317" s="1" t="n">
        <x:v>0.708</x:v>
      </x:c>
      <x:c r="J317" s="1"/>
      <x:c r="K317" s="1"/>
      <x:c r="L317" s="1" t="n">
        <x:v>21.8</x:v>
      </x:c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</x:row>
    <x:row r="318">
      <x:c r="A318" s="1" t="n">
        <x:v>23</x:v>
      </x:c>
      <x:c r="B318" s="1" t="str">
        <x:v>26229</x:v>
      </x:c>
      <x:c r="C318" s="1"/>
      <x:c r="D318" s="1" t="n">
        <x:v>0</x:v>
      </x:c>
      <x:c r="E318" s="1" t="n">
        <x:v>20</x:v>
      </x:c>
      <x:c r="F318" s="1" t="str">
        <x:v>23</x:v>
      </x:c>
      <x:c r="G318" s="1"/>
      <x:c r="H318" s="1" t="n">
        <x:v>0.229</x:v>
      </x:c>
      <x:c r="I318" s="1" t="n">
        <x:v>0.536</x:v>
      </x:c>
      <x:c r="J318" s="1"/>
      <x:c r="K318" s="1"/>
      <x:c r="L318" s="1" t="n">
        <x:v>19.12</x:v>
      </x:c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</x:row>
    <x:row r="319">
      <x:c r="A319" s="1" t="n">
        <x:v>23</x:v>
      </x:c>
      <x:c r="B319" s="3" t="d">
        <x:v>2026-08-17T00:00:00.000Z</x:v>
      </x:c>
      <x:c r="C319" s="1"/>
      <x:c r="D319" s="1" t="n">
        <x:v>20</x:v>
      </x:c>
      <x:c r="E319" s="1" t="n">
        <x:v>40</x:v>
      </x:c>
      <x:c r="F319" s="1" t="str">
        <x:v>23</x:v>
      </x:c>
      <x:c r="G319" s="1"/>
      <x:c r="H319" s="1" t="n">
        <x:v>0.239</x:v>
      </x:c>
      <x:c r="I319" s="1" t="n">
        <x:v>0.321</x:v>
      </x:c>
      <x:c r="J319" s="1"/>
      <x:c r="K319" s="1"/>
      <x:c r="L319" s="1" t="n">
        <x:v>18.52</x:v>
      </x:c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</x:row>
    <x:row r="320">
      <x:c r="A320" s="1" t="n">
        <x:v>41</x:v>
      </x:c>
      <x:c r="B320" s="1" t="str">
        <x:v> 2027-06-13</x:v>
      </x:c>
      <x:c r="C320" s="1"/>
      <x:c r="D320" s="1" t="n">
        <x:v>0</x:v>
      </x:c>
      <x:c r="E320" s="1" t="n">
        <x:v>20</x:v>
      </x:c>
      <x:c r="F320" s="1" t="str">
        <x:v>41</x:v>
      </x:c>
      <x:c r="G320" s="1"/>
      <x:c r="H320" s="1" t="n">
        <x:v>0.259</x:v>
      </x:c>
      <x:c r="I320" s="1"/>
      <x:c r="J320" s="1" t="n">
        <x:v>10.3</x:v>
      </x:c>
      <x:c r="K320" s="1" t="n">
        <x:v>1.74</x:v>
      </x:c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</x:row>
    <x:row r="321">
      <x:c r="A321" s="1" t="n">
        <x:v>41</x:v>
      </x:c>
      <x:c r="B321" s="1" t="str">
        <x:v>2027-6-13</x:v>
      </x:c>
      <x:c r="C321" s="1"/>
      <x:c r="D321" s="1" t="n">
        <x:v>20</x:v>
      </x:c>
      <x:c r="E321" s="1" t="n">
        <x:v>40</x:v>
      </x:c>
      <x:c r="F321" s="1" t="str">
        <x:v>41</x:v>
      </x:c>
      <x:c r="G321" s="1"/>
      <x:c r="H321" s="1" t="n">
        <x:v>0.269</x:v>
      </x:c>
      <x:c r="I321" s="1"/>
      <x:c r="J321" s="1" t="n">
        <x:v>9.8</x:v>
      </x:c>
      <x:c r="K321" s="1" t="n">
        <x:v>1.58</x:v>
      </x:c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</x:row>
    <x:row r="322">
      <x:c r="A322" s="1" t="n">
        <x:v>41</x:v>
      </x:c>
      <x:c r="B322" s="1" t="str">
        <x:v>27200</x:v>
      </x:c>
      <x:c r="C322" s="1"/>
      <x:c r="D322" s="1" t="n">
        <x:v>0</x:v>
      </x:c>
      <x:c r="E322" s="1" t="n">
        <x:v>20</x:v>
      </x:c>
      <x:c r="F322" s="1" t="str">
        <x:v>41</x:v>
      </x:c>
      <x:c r="G322" s="1"/>
      <x:c r="H322" s="1" t="n">
        <x:v>0.261</x:v>
      </x:c>
      <x:c r="I322" s="1"/>
      <x:c r="J322" s="1" t="n">
        <x:v>9.4</x:v>
      </x:c>
      <x:c r="K322" s="1" t="n">
        <x:v>1.65</x:v>
      </x:c>
      <x:c r="L322" s="1" t="str">
        <x:v>-99.0</x:v>
      </x:c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</x:row>
    <x:row r="323">
      <x:c r="A323" s="1" t="n">
        <x:v>41</x:v>
      </x:c>
      <x:c r="B323" s="3" t="d">
        <x:v>2027-07-19T00:00:00.000Z</x:v>
      </x:c>
      <x:c r="C323" s="1"/>
      <x:c r="D323" s="1" t="n">
        <x:v>20</x:v>
      </x:c>
      <x:c r="E323" s="1" t="n">
        <x:v>40</x:v>
      </x:c>
      <x:c r="F323" s="1" t="str">
        <x:v>41</x:v>
      </x:c>
      <x:c r="G323" s="1" t="str">
        <x:v>-99.0</x:v>
      </x:c>
      <x:c r="H323" s="1" t="n">
        <x:v>0.271</x:v>
      </x:c>
      <x:c r="I323" s="1"/>
      <x:c r="J323" s="1" t="n">
        <x:v>8.9</x:v>
      </x:c>
      <x:c r="K323" s="1" t="n">
        <x:v>1.49</x:v>
      </x:c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</x:row>
    <x:row r="324">
      <x:c r="A324" s="1" t="n">
        <x:v>41</x:v>
      </x:c>
      <x:c r="B324" s="1" t="str">
        <x:v> 2027-08-30</x:v>
      </x:c>
      <x:c r="C324" s="1"/>
      <x:c r="D324" s="1" t="n">
        <x:v>0</x:v>
      </x:c>
      <x:c r="E324" s="1" t="n">
        <x:v>20</x:v>
      </x:c>
      <x:c r="F324" s="1" t="str">
        <x:v>41</x:v>
      </x:c>
      <x:c r="G324" s="1"/>
      <x:c r="H324" s="1" t="n">
        <x:v>0.232</x:v>
      </x:c>
      <x:c r="I324" s="1"/>
      <x:c r="J324" s="1" t="n">
        <x:v>8.35</x:v>
      </x:c>
      <x:c r="K324" s="1" t="n">
        <x:v>1.54</x:v>
      </x:c>
      <x:c r="L324" s="1" t="str">
        <x:v>-99.0</x:v>
      </x:c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</x:row>
    <x:row r="325">
      <x:c r="A325" s="1" t="n">
        <x:v>41</x:v>
      </x:c>
      <x:c r="B325" s="1" t="str">
        <x:v>2027-8-30</x:v>
      </x:c>
      <x:c r="C325" s="1"/>
      <x:c r="D325" s="1" t="n">
        <x:v>20</x:v>
      </x:c>
      <x:c r="E325" s="1" t="n">
        <x:v>40</x:v>
      </x:c>
      <x:c r="F325" s="1" t="str">
        <x:v>41</x:v>
      </x:c>
      <x:c r="G325" s="1"/>
      <x:c r="H325" s="1" t="n">
        <x:v>0.242</x:v>
      </x:c>
      <x:c r="I325" s="1"/>
      <x:c r="J325" s="1" t="n">
        <x:v>7.85</x:v>
      </x:c>
      <x:c r="K325" s="1" t="n">
        <x:v>1.39</x:v>
      </x:c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</x:row>
    <x:row r="327">
      <x:c r="A327" s="1" t="str">
        <x:v>! Section</x:v>
      </x:c>
      <x:c r="B327" s="1" t="str">
        <x:v>Tillage_event</x:v>
      </x:c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</x:row>
    <x:row r="328">
      <x:c r="A328" s="1" t="str">
        <x:v>! Definitions</x:v>
      </x:c>
      <x:c r="B328" s="1" t="str">
        <x:v>Tillage operations depth</x:v>
      </x:c>
      <x:c r="C328" s="1"/>
      <x:c r="D328" s="1" t="str">
        <x:v>Tillage type</x:v>
      </x:c>
      <x:c r="E328" s="1" t="str">
        <x:v>Tillage operations order within a single day</x:v>
      </x:c>
      <x:c r="F328" s="1" t="str">
        <x:v>Identifier of the tillage treatment associated with the event</x:v>
      </x:c>
      <x:c r="G328" s="1" t="str">
        <x:v>Tillage date; use YYYY-MM-DD.</x:v>
      </x:c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</x:row>
    <x:row r="329">
      <x:c r="A329" s="1" t="str">
        <x:v>! Units</x:v>
      </x:c>
      <x:c r="B329" s="1" t="str">
        <x:v>cm</x:v>
      </x:c>
      <x:c r="C329" s="1"/>
      <x:c r="D329" s="1" t="str">
        <x:v>code</x:v>
      </x:c>
      <x:c r="E329" s="1" t="str">
        <x:v>number</x:v>
      </x:c>
      <x:c r="F329" s="1" t="str">
        <x:v>text</x:v>
      </x:c>
      <x:c r="G329" s="1" t="str">
        <x:v>date</x:v>
      </x:c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</x:row>
    <x:row r="330">
      <x:c r="A330" s="2" t="str">
        <x:v>%</x:v>
      </x:c>
      <x:c r="B330" s="2" t="str">
        <x:v> TIDEP </x:v>
      </x:c>
      <x:c r="C330" s="2"/>
      <x:c r="D330" s="2" t="str">
        <x:v>TI_PRACTICE</x:v>
      </x:c>
      <x:c r="E330" s="2" t="str">
        <x:v>tiord</x:v>
      </x:c>
      <x:c r="F330" s="2" t="str">
        <x:v>TILTR_TE</x:v>
      </x:c>
      <x:c r="G330" s="2" t="str">
        <x:v>TDATE</x:v>
      </x:c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</x:row>
    <x:row r="331">
      <x:c r="A331" s="1" t="n">
        <x:v>23</x:v>
      </x:c>
      <x:c r="B331" s="1"/>
      <x:c r="C331" s="1"/>
      <x:c r="D331" s="1" t="str">
        <x:v>No-till</x:v>
      </x:c>
      <x:c r="E331" s="1" t="n">
        <x:v>1</x:v>
      </x:c>
      <x:c r="F331" s="1" t="str">
        <x:v>S0161</x:v>
      </x:c>
      <x:c r="G331" s="1" t="str">
        <x:v>26132</x:v>
      </x:c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</x:row>
    <x:row r="332">
      <x:c r="A332" s="1" t="n">
        <x:v>41</x:v>
      </x:c>
      <x:c r="B332" s="1" t="str">
        <x:v>-99</x:v>
      </x:c>
      <x:c r="C332" s="1"/>
      <x:c r="D332" s="1" t="str">
        <x:v>Puddling</x:v>
      </x:c>
      <x:c r="E332" s="1" t="n">
        <x:v>1</x:v>
      </x:c>
      <x:c r="F332" s="1" t="str">
        <x:v>S0162</x:v>
      </x:c>
      <x:c r="G332" s="3" t="d">
        <x:v>2027-04-22T00:00:00.000Z</x:v>
      </x:c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</x:row>
    <x:row r="334">
      <x:c r="A334" s="1" t="str">
        <x:v>! Section</x:v>
      </x:c>
      <x:c r="B334" s="1" t="str">
        <x:v>Tillage_treatments</x:v>
      </x:c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</x:row>
    <x:row r="335">
      <x:c r="A335" s="1" t="str">
        <x:v>! Definitions</x:v>
      </x:c>
      <x:c r="B335" s="1" t="str">
        <x:v>Unique identifier for a tillage treatment</x:v>
      </x:c>
      <x:c r="C335" s="1"/>
      <x:c r="D335" s="1" t="str">
        <x:v>Total tillage operations, cumulative for season</x:v>
      </x:c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</x:row>
    <x:row r="336">
      <x:c r="A336" s="1" t="str">
        <x:v>! Units</x:v>
      </x:c>
      <x:c r="B336" s="1" t="str">
        <x:v>text</x:v>
      </x:c>
      <x:c r="C336" s="1"/>
      <x:c r="D336" s="1" t="str">
        <x:v>number</x:v>
      </x:c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</x:row>
    <x:row r="337">
      <x:c r="A337" s="2" t="str">
        <x:v>#</x:v>
      </x:c>
      <x:c r="B337" s="2" t="str">
        <x:v>TILTRTID</x:v>
      </x:c>
      <x:c r="C337" s="2"/>
      <x:c r="D337" s="2" t="str">
        <x:v>TI_#</x:v>
      </x:c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</x:row>
    <x:row r="338">
      <x:c r="A338" s="1" t="n">
        <x:v>23</x:v>
      </x:c>
      <x:c r="B338" s="1" t="str">
        <x:v>S0161</x:v>
      </x:c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</x:row>
    <x:row r="339">
      <x:c r="A339" s="1" t="n">
        <x:v>41</x:v>
      </x:c>
      <x:c r="B339" s="1" t="str">
        <x:v>S0162</x:v>
      </x:c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</x:row>
    <x:row r="340">
      <x:c r="A340" s="2" t="str">
        <x:v>%</x:v>
      </x:c>
      <x:c r="B340" s="2" t="str">
        <x:v>!</x:v>
      </x:c>
      <x:c r="C340" s="2" t="str">
        <x:v>!</x:v>
      </x:c>
      <x:c r="D340" s="2" t="str">
        <x:v>idate</x:v>
      </x:c>
      <x:c r="E340" s="2" t="str">
        <x:v>IRVAL</x:v>
      </x:c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