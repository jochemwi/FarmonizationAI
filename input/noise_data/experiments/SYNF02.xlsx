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1be79657a245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eld-mgmt" sheetId="1" r:id="R343c3904f6554716"/>
    <x:sheet xmlns:r="http://schemas.openxmlformats.org/officeDocument/2006/relationships" name="Sheet2" sheetId="2" r:id="R9679ce66dfab49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bf7ced298846f8" /><Relationship Type="http://schemas.openxmlformats.org/officeDocument/2006/relationships/theme" Target="/xl/theme/theme1.xml" Id="R97719c56e26c4ec2" /><Relationship Type="http://schemas.openxmlformats.org/officeDocument/2006/relationships/sharedStrings" Target="/xl/sharedStrings.xml" Id="Rbc590d7e20c441f4" /><Relationship Type="http://schemas.openxmlformats.org/officeDocument/2006/relationships/worksheet" Target="/xl/worksheets/sheet1.xml" Id="R343c3904f6554716" /><Relationship Type="http://schemas.openxmlformats.org/officeDocument/2006/relationships/worksheet" Target="/xl/worksheets/sheet2.xml" Id="R9679ce66dfab49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</x:cols>
  <x:sheetData>
    <x:row r="1">
      <x:c r="A1" s="1" t="str">
        <x:v>! Synthetic field experiment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</x:row>
    <x:row r="18">
      <x:c r="A18" s="1" t="str">
        <x:v>! Definitions</x:v>
      </x:c>
      <x:c r="B18" s="1" t="str">
        <x:v>Plot identification</x:v>
      </x:c>
      <x:c r="C18" s="1"/>
      <x:c r="D18" s="1" t="str">
        <x:v>Soil identifier linking from SOIL_PROFILES for a single profile</x:v>
      </x:c>
      <x:c r="E18" s="1" t="str">
        <x:v>Field, identifier usually consisting of institution+site+4 digit number</x:v>
      </x:c>
      <x:c r="F18" s="1" t="str">
        <x:v>Plot area (gross) per rep</x:v>
      </x:c>
      <x:c r="G18" s="1" t="str">
        <x:v>Plot length (gross) for single plot or treatment</x:v>
      </x:c>
      <x:c r="H18" s="1" t="str">
        <x:v>Plot width (gross) for single plot or treatment</x:v>
      </x:c>
      <x:c r="I18" s="1" t="str">
        <x:v>Plot harvest area</x:v>
      </x:c>
      <x:c r="J18" s="1" t="str">
        <x:v>Field latitude</x:v>
      </x:c>
      <x:c r="K18" s="1" t="str">
        <x:v>Field longitude, E positive, W negative</x:v>
      </x:c>
      <x:c r="L18" s="1" t="str">
        <x:v>Field slope (from horizontal)</x:v>
      </x:c>
      <x:c r="M18" s="1" t="str">
        <x:v>Unique identifier for a treatment record</x:v>
      </x:c>
      <x:c r="N18" s="1" t="str">
        <x:v>Identifier of the genotype used in the treatment</x:v>
      </x:c>
      <x:c r="O18" s="1" t="str">
        <x:v>Identifier of the weather station associated with the treatment</x:v>
      </x:c>
      <x:c r="P18" s="1" t="str">
        <x:v>Identifier of the initial-conditions treatment</x:v>
      </x:c>
      <x:c r="Q18" s="1" t="str">
        <x:v>Identifier of the planting treatment</x:v>
      </x:c>
      <x:c r="R18" s="1" t="str">
        <x:v>Identifier of the irrigation treatment</x:v>
      </x:c>
      <x:c r="S18" s="1" t="str">
        <x:v>Identifier of the fertilization treatment</x:v>
      </x:c>
      <x:c r="T18" s="1" t="str">
        <x:v>Identifier of the automatic irrigation treatment</x:v>
      </x:c>
      <x:c r="U18" s="1" t="str">
        <x:v>Identifier of the organic material application treatment</x:v>
      </x:c>
      <x:c r="V18" s="1" t="str">
        <x:v>Identifier of the chemical application treatment</x:v>
      </x:c>
      <x:c r="W18" s="1" t="str">
        <x:v>Identifier of the tillage treatment</x:v>
      </x:c>
      <x:c r="X18" s="1" t="str">
        <x:v>Identifier of the environmental modification treatment</x:v>
      </x:c>
      <x:c r="Y18" s="1" t="str">
        <x:v>Identifier of the harvest treatment</x:v>
      </x:c>
      <x:c r="Z18" s="1" t="str">
        <x:v>Identifier of the mulch treatment</x:v>
      </x:c>
      <x:c r="AA18" s="1" t="str">
        <x:v>Crop (or weed) species identifier</x:v>
      </x:c>
      <x:c r="AB18" s="1" t="str">
        <x:v>Preferred genotype identifier, potentially a cultivar, breeding line, hybrid, clone, population, or other.</x:v>
      </x:c>
      <x:c r="AC18" s="1" t="str">
        <x:v>Repeated field identifier</x:v>
      </x:c>
    </x:row>
    <x:row r="19">
      <x:c r="A19" s="1" t="str">
        <x:v>! Units</x:v>
      </x:c>
      <x:c r="B19" s="1" t="str">
        <x:v>text</x:v>
      </x:c>
      <x:c r="C19" s="1"/>
      <x:c r="D19" s="1" t="str">
        <x:v>text</x:v>
      </x:c>
      <x:c r="E19" s="1" t="str">
        <x:v>text</x:v>
      </x:c>
      <x:c r="F19" s="1" t="str">
        <x:v>m2</x:v>
      </x:c>
      <x:c r="G19" s="1" t="str">
        <x:v>m</x:v>
      </x:c>
      <x:c r="H19" s="1" t="str">
        <x:v>m</x:v>
      </x:c>
      <x:c r="I19" s="1" t="str">
        <x:v>m2</x:v>
      </x:c>
      <x:c r="J19" s="1" t="str">
        <x:v>decimal_degrees</x:v>
      </x:c>
      <x:c r="K19" s="1" t="str">
        <x:v>decimal_degrees</x:v>
      </x:c>
      <x:c r="L19" s="1" t="str">
        <x:v>percent</x:v>
      </x:c>
      <x:c r="M19" s="1" t="str">
        <x:v>text</x:v>
      </x:c>
      <x:c r="N19" s="1" t="str">
        <x:v>text</x:v>
      </x:c>
      <x:c r="O19" s="1" t="str">
        <x:v>text</x:v>
      </x:c>
      <x:c r="P19" s="1" t="str">
        <x:v>text</x:v>
      </x:c>
      <x:c r="Q19" s="1" t="str">
        <x:v>text</x:v>
      </x:c>
      <x:c r="R19" s="1" t="str">
        <x:v>text</x:v>
      </x:c>
      <x:c r="S19" s="1" t="str">
        <x:v>text</x:v>
      </x:c>
      <x:c r="T19" s="1" t="str">
        <x:v>text</x:v>
      </x:c>
      <x:c r="U19" s="1" t="str">
        <x:v>text</x:v>
      </x:c>
      <x:c r="V19" s="1" t="str">
        <x:v>text</x:v>
      </x:c>
      <x:c r="W19" s="1" t="str">
        <x:v>text</x:v>
      </x:c>
      <x:c r="X19" s="1" t="str">
        <x:v>text</x:v>
      </x:c>
      <x:c r="Y19" s="1" t="str">
        <x:v>text</x:v>
      </x:c>
      <x:c r="Z19" s="1" t="str">
        <x:v>text</x:v>
      </x:c>
      <x:c r="AA19" s="1" t="str">
        <x:v>code</x:v>
      </x:c>
      <x:c r="AB19" s="1" t="str">
        <x:v>text</x:v>
      </x:c>
      <x:c r="AC19" s="1" t="str">
        <x:v>Repeated field identifier</x:v>
      </x:c>
    </x:row>
    <x:row r="20">
      <x:c r="A20" s="2" t="str">
        <x:v>#</x:v>
      </x:c>
      <x:c r="B20" s="2" t="str">
        <x:v>PLTID</x:v>
      </x:c>
      <x:c r="C20" s="2"/>
      <x:c r="D20" s="2" t="str">
        <x:v>SOIL_ID</x:v>
      </x:c>
      <x:c r="E20" s="2" t="str">
        <x:v>field_id</x:v>
      </x:c>
      <x:c r="F20" s="2" t="str">
        <x:v>PLTA</x:v>
      </x:c>
      <x:c r="G20" s="2" t="str">
        <x:v> PLTLN </x:v>
      </x:c>
      <x:c r="H20" s="2" t="str">
        <x:v>pltwi</x:v>
      </x:c>
      <x:c r="I20" s="2" t="str">
        <x:v>PLTHA</x:v>
      </x:c>
      <x:c r="J20" s="2" t="str">
        <x:v>FL_LAT</x:v>
      </x:c>
      <x:c r="K20" s="2" t="str">
        <x:v>fl_long</x:v>
      </x:c>
      <x:c r="L20" s="2" t="str">
        <x:v> FLSL </x:v>
      </x:c>
      <x:c r="M20" s="2" t="str">
        <x:v>TRTID</x:v>
      </x:c>
      <x:c r="N20" s="2" t="str">
        <x:v>genid</x:v>
      </x:c>
      <x:c r="O20" s="2" t="str">
        <x:v>WTHSTAID</x:v>
      </x:c>
      <x:c r="P20" s="2" t="str">
        <x:v>INITC_TR</x:v>
      </x:c>
      <x:c r="Q20" s="2" t="str">
        <x:v> plttr_tr </x:v>
      </x:c>
      <x:c r="R20" s="2" t="str">
        <x:v>IRRTR_TR</x:v>
      </x:c>
      <x:c r="S20" s="2" t="str">
        <x:v>FERTT_TR</x:v>
      </x:c>
      <x:c r="T20" s="2" t="str">
        <x:v>autoi_tr</x:v>
      </x:c>
      <x:c r="U20" s="2" t="str">
        <x:v>ORGMA_TR</x:v>
      </x:c>
      <x:c r="V20" s="2" t="str">
        <x:v> CHEMA_TR </x:v>
      </x:c>
      <x:c r="W20" s="2" t="str">
        <x:v>tiltr_tr</x:v>
      </x:c>
      <x:c r="X20" s="2" t="str">
        <x:v>ENVMO_TR</x:v>
      </x:c>
      <x:c r="Y20" s="2" t="str">
        <x:v>HARVT_TR</x:v>
      </x:c>
      <x:c r="Z20" s="2" t="str">
        <x:v>multr_tr</x:v>
      </x:c>
      <x:c r="AA20" s="2" t="str">
        <x:v> CRID </x:v>
      </x:c>
      <x:c r="AB20" s="2" t="str">
        <x:v>GENO_NAME</x:v>
      </x:c>
      <x:c r="AC20" s="2" t="str">
        <x:v>ID_FIELD</x:v>
      </x:c>
    </x:row>
    <x:row r="21">
      <x:c r="A21" s="1" t="n">
        <x:v>11</x:v>
      </x:c>
      <x:c r="B21" s="1" t="str">
        <x:v>S0104</x:v>
      </x:c>
      <x:c r="C21" s="1"/>
      <x:c r="D21" s="1" t="str">
        <x:v>synl000002</x:v>
      </x:c>
      <x:c r="E21" s="1" t="str">
        <x:v>S0152</x:v>
      </x:c>
      <x:c r="F21" s="1" t="n">
        <x:v>144</x:v>
      </x:c>
      <x:c r="G21" s="1" t="n">
        <x:v>24</x:v>
      </x:c>
      <x:c r="H21" s="1" t="n">
        <x:v>6</x:v>
      </x:c>
      <x:c r="I21" s="1" t="n">
        <x:v>88</x:v>
      </x:c>
      <x:c r="J21" s="1" t="n">
        <x:v>51.82</x:v>
      </x:c>
      <x:c r="K21" s="1" t="n">
        <x:v>5.53</x:v>
      </x:c>
      <x:c r="L21" s="1" t="n">
        <x:v>0.8</x:v>
      </x:c>
      <x:c r="M21" s="1" t="str">
        <x:v>S0116</x:v>
      </x:c>
      <x:c r="N21" s="1" t="str">
        <x:v>S0043</x:v>
      </x:c>
      <x:c r="O21" s="1" t="str">
        <x:v>SYN1</x:v>
      </x:c>
      <x:c r="P21" s="1" t="str">
        <x:v>S0065</x:v>
      </x:c>
      <x:c r="Q21" s="1" t="str">
        <x:v>S0097</x:v>
      </x:c>
      <x:c r="R21" s="1"/>
      <x:c r="S21" s="1" t="str">
        <x:v>S0025</x:v>
      </x:c>
      <x:c r="T21" s="1"/>
      <x:c r="U21" s="1"/>
      <x:c r="V21" s="1" t="str">
        <x:v>N/A</x:v>
      </x:c>
      <x:c r="W21" s="1"/>
      <x:c r="X21" s="1" t="str">
        <x:v>N/A</x:v>
      </x:c>
      <x:c r="Y21" s="1" t="str">
        <x:v>S0055</x:v>
      </x:c>
      <x:c r="Z21" s="1" t="str">
        <x:v>UNKNOWN</x:v>
      </x:c>
      <x:c r="AA21" s="1" t="str">
        <x:v>S0049</x:v>
      </x:c>
      <x:c r="AB21" s="1" t="str">
        <x:v>Synthetic_Wheat_01</x:v>
      </x:c>
      <x:c r="AC21" s="1" t="str">
        <x:v>S0152</x:v>
      </x:c>
    </x:row>
    <x:row r="22">
      <x:c r="A22" s="1" t="n">
        <x:f>A21+6</x:f>
        <x:v>17</x:v>
      </x:c>
      <x:c r="B22" s="1" t="str">
        <x:v>S0105</x:v>
      </x:c>
      <x:c r="C22" s="1"/>
      <x:c r="D22" s="1" t="str">
        <x:v>SYNL000002</x:v>
      </x:c>
      <x:c r="E22" s="1" t="str">
        <x:v>S0152</x:v>
      </x:c>
      <x:c r="F22" s="1" t="n">
        <x:v>156</x:v>
      </x:c>
      <x:c r="G22" s="1" t="n">
        <x:v>26</x:v>
      </x:c>
      <x:c r="H22" s="1" t="n">
        <x:v>6</x:v>
      </x:c>
      <x:c r="I22" s="1" t="str">
        <x:v>-99.0</x:v>
      </x:c>
      <x:c r="J22" s="1" t="n">
        <x:v>51.82</x:v>
      </x:c>
      <x:c r="K22" s="1" t="n">
        <x:v>5.53</x:v>
      </x:c>
      <x:c r="L22" s="1" t="n">
        <x:v>0.8</x:v>
      </x:c>
      <x:c r="M22" s="1" t="str">
        <x:v>S0117</x:v>
      </x:c>
      <x:c r="N22" s="1" t="str">
        <x:v>S0043</x:v>
      </x:c>
      <x:c r="O22" s="1" t="str">
        <x:v>SYN1</x:v>
      </x:c>
      <x:c r="P22" s="1" t="str">
        <x:v>S0065</x:v>
      </x:c>
      <x:c r="Q22" s="1" t="str">
        <x:v>S0097</x:v>
      </x:c>
      <x:c r="R22" s="1"/>
      <x:c r="S22" s="1" t="str">
        <x:v>S0026</x:v>
      </x:c>
      <x:c r="T22" s="1"/>
      <x:c r="U22" s="1"/>
      <x:c r="V22" s="1"/>
      <x:c r="W22" s="1"/>
      <x:c r="X22" s="1" t="str">
        <x:v>UNKNOWN</x:v>
      </x:c>
      <x:c r="Y22" s="1" t="str">
        <x:v>S0055</x:v>
      </x:c>
      <x:c r="Z22" s="1"/>
      <x:c r="AA22" s="1" t="str">
        <x:v>S0049</x:v>
      </x:c>
      <x:c r="AB22" s="1" t="str">
        <x:v>Synthetic_Wheat_01</x:v>
      </x:c>
      <x:c r="AC22" s="1" t="str">
        <x:v>S0152</x:v>
      </x:c>
    </x:row>
    <x:row r="23">
      <x:c r="A23" s="1" t="n">
        <x:v>23</x:v>
      </x:c>
      <x:c r="B23" s="1" t="str">
        <x:v>S0104</x:v>
      </x:c>
      <x:c r="C23" s="1"/>
      <x:c r="D23" s="1" t="str">
        <x:v>SYNL000002</x:v>
      </x:c>
      <x:c r="E23" s="1" t="str">
        <x:v>S0152</x:v>
      </x:c>
      <x:c r="F23" s="1" t="n">
        <x:v>144</x:v>
      </x:c>
      <x:c r="G23" s="1" t="n">
        <x:v>24</x:v>
      </x:c>
      <x:c r="H23" s="1" t="n">
        <x:v>6</x:v>
      </x:c>
      <x:c r="I23" s="1" t="n">
        <x:v>88</x:v>
      </x:c>
      <x:c r="J23" s="1" t="n">
        <x:v>51.82</x:v>
      </x:c>
      <x:c r="K23" s="1" t="n">
        <x:v>5.53</x:v>
      </x:c>
      <x:c r="L23" s="1" t="n">
        <x:v>0.8</x:v>
      </x:c>
      <x:c r="M23" s="1" t="str">
        <x:v>S0122</x:v>
      </x:c>
      <x:c r="N23" s="1" t="str">
        <x:v>S0044</x:v>
      </x:c>
      <x:c r="O23" s="1" t="str">
        <x:v>SYN1</x:v>
      </x:c>
      <x:c r="P23" s="1" t="str">
        <x:v>S0066</x:v>
      </x:c>
      <x:c r="Q23" s="1" t="str">
        <x:v>S0098</x:v>
      </x:c>
      <x:c r="R23" s="1"/>
      <x:c r="S23" s="1" t="str">
        <x:v>S0028</x:v>
      </x:c>
      <x:c r="T23" s="1"/>
      <x:c r="U23" s="1"/>
      <x:c r="V23" s="1"/>
      <x:c r="W23" s="1"/>
      <x:c r="X23" s="1"/>
      <x:c r="Y23" s="1" t="str">
        <x:v>S0056</x:v>
      </x:c>
      <x:c r="Z23" s="1"/>
      <x:c r="AA23" s="1" t="str">
        <x:v>S0050</x:v>
      </x:c>
      <x:c r="AB23" s="1" t="str">
        <x:v>Synthetic_Maize_01</x:v>
      </x:c>
      <x:c r="AC23" s="1" t="str">
        <x:v>S0152</x:v>
      </x:c>
    </x:row>
    <x:row r="24">
      <x:c r="A24" s="1" t="n">
        <x:v>29</x:v>
      </x:c>
      <x:c r="B24" s="1" t="str">
        <x:v>S0105</x:v>
      </x:c>
      <x:c r="C24" s="1"/>
      <x:c r="D24" s="1" t="str">
        <x:v>SYNL000002</x:v>
      </x:c>
      <x:c r="E24" s="1" t="str">
        <x:v>S0152</x:v>
      </x:c>
      <x:c r="F24" s="1" t="n">
        <x:v>156</x:v>
      </x:c>
      <x:c r="G24" s="1" t="n">
        <x:v>26</x:v>
      </x:c>
      <x:c r="H24" s="1" t="n">
        <x:v>6</x:v>
      </x:c>
      <x:c r="I24" s="1"/>
      <x:c r="J24" s="1" t="n">
        <x:v>51.82</x:v>
      </x:c>
      <x:c r="K24" s="1" t="n">
        <x:v>5.53</x:v>
      </x:c>
      <x:c r="L24" s="1" t="n">
        <x:v>0.8</x:v>
      </x:c>
      <x:c r="M24" s="1" t="str">
        <x:v>S0123</x:v>
      </x:c>
      <x:c r="N24" s="1" t="str">
        <x:v>S0044</x:v>
      </x:c>
      <x:c r="O24" s="1" t="str">
        <x:v>SYN1</x:v>
      </x:c>
      <x:c r="P24" s="1" t="str">
        <x:v>S0066</x:v>
      </x:c>
      <x:c r="Q24" s="1" t="str">
        <x:v>S0098</x:v>
      </x:c>
      <x:c r="R24" s="1"/>
      <x:c r="S24" s="1" t="str">
        <x:v>S0029</x:v>
      </x:c>
      <x:c r="T24" s="1"/>
      <x:c r="U24" s="1"/>
      <x:c r="V24" s="1"/>
      <x:c r="W24" s="1"/>
      <x:c r="X24" s="1"/>
      <x:c r="Y24" s="1" t="str">
        <x:v>S0056</x:v>
      </x:c>
      <x:c r="Z24" s="1"/>
      <x:c r="AA24" s="1" t="str">
        <x:v>S0050</x:v>
      </x:c>
      <x:c r="AB24" s="1" t="str">
        <x:v>Synthetic_Maize_01</x:v>
      </x:c>
      <x:c r="AC24" s="1" t="str">
        <x:v>S0152</x:v>
      </x:c>
    </x:row>
    <x:row r="25">
      <x:c r="A25" s="1" t="n">
        <x:v>35</x:v>
      </x:c>
      <x:c r="B25" s="1" t="str">
        <x:v>S0104</x:v>
      </x:c>
      <x:c r="C25" s="1"/>
      <x:c r="D25" s="1" t="str">
        <x:v>SYNL000002</x:v>
      </x:c>
      <x:c r="E25" s="1" t="str">
        <x:v>S0152</x:v>
      </x:c>
      <x:c r="F25" s="1" t="n">
        <x:v>144</x:v>
      </x:c>
      <x:c r="G25" s="1" t="n">
        <x:v>24</x:v>
      </x:c>
      <x:c r="H25" s="1" t="n">
        <x:v>6</x:v>
      </x:c>
      <x:c r="I25" s="1" t="n">
        <x:v>88</x:v>
      </x:c>
      <x:c r="J25" s="1" t="n">
        <x:v>51.82</x:v>
      </x:c>
      <x:c r="K25" s="1" t="n">
        <x:v>5.53</x:v>
      </x:c>
      <x:c r="L25" s="1" t="n">
        <x:v>0.8</x:v>
      </x:c>
      <x:c r="M25" s="1" t="str">
        <x:v>S0128</x:v>
      </x:c>
      <x:c r="N25" s="1" t="str">
        <x:v>S0045</x:v>
      </x:c>
      <x:c r="O25" s="1" t="str">
        <x:v>SYN1</x:v>
      </x:c>
      <x:c r="P25" s="1" t="str">
        <x:v>S0067</x:v>
      </x:c>
      <x:c r="Q25" s="1" t="str">
        <x:v>S0099</x:v>
      </x:c>
      <x:c r="R25" s="1"/>
      <x:c r="S25" s="1" t="str">
        <x:v>S0031</x:v>
      </x:c>
      <x:c r="T25" s="1"/>
      <x:c r="U25" s="1"/>
      <x:c r="V25" s="1"/>
      <x:c r="W25" s="1"/>
      <x:c r="X25" s="1"/>
      <x:c r="Y25" s="1" t="str">
        <x:v>S0057</x:v>
      </x:c>
      <x:c r="Z25" s="1"/>
      <x:c r="AA25" s="1" t="str">
        <x:v>S0051</x:v>
      </x:c>
      <x:c r="AB25" s="1" t="str">
        <x:v>Synthetic_Soybean_01</x:v>
      </x:c>
      <x:c r="AC25" s="1" t="str">
        <x:v>S0152</x:v>
      </x:c>
    </x:row>
    <x:row r="26">
      <x:c r="A26" s="1" t="n">
        <x:v>41</x:v>
      </x:c>
      <x:c r="B26" s="1" t="str">
        <x:v>S0105</x:v>
      </x:c>
      <x:c r="C26" s="1"/>
      <x:c r="D26" s="1" t="str">
        <x:v>SYNL000002</x:v>
      </x:c>
      <x:c r="E26" s="1" t="str">
        <x:v>S0152</x:v>
      </x:c>
      <x:c r="F26" s="1" t="n">
        <x:v>156</x:v>
      </x:c>
      <x:c r="G26" s="1" t="n">
        <x:v>26</x:v>
      </x:c>
      <x:c r="H26" s="1" t="n">
        <x:v>6</x:v>
      </x:c>
      <x:c r="I26" s="1"/>
      <x:c r="J26" s="1" t="n">
        <x:v>51.82</x:v>
      </x:c>
      <x:c r="K26" s="1" t="n">
        <x:v>5.53</x:v>
      </x:c>
      <x:c r="L26" s="1" t="n">
        <x:v>0.8</x:v>
      </x:c>
      <x:c r="M26" s="1" t="str">
        <x:v>S0129</x:v>
      </x:c>
      <x:c r="N26" s="1" t="str">
        <x:v>S0045</x:v>
      </x:c>
      <x:c r="O26" s="1" t="str">
        <x:v>SYN1</x:v>
      </x:c>
      <x:c r="P26" s="1" t="str">
        <x:v>S0067</x:v>
      </x:c>
      <x:c r="Q26" s="1" t="str">
        <x:v>S0099</x:v>
      </x:c>
      <x:c r="R26" s="1"/>
      <x:c r="S26" s="1" t="str">
        <x:v>S0032</x:v>
      </x:c>
      <x:c r="T26" s="1"/>
      <x:c r="U26" s="1"/>
      <x:c r="V26" s="1"/>
      <x:c r="W26" s="1"/>
      <x:c r="X26" s="1"/>
      <x:c r="Y26" s="1" t="str">
        <x:v>S0057</x:v>
      </x:c>
      <x:c r="Z26" s="1"/>
      <x:c r="AA26" s="1" t="str">
        <x:v>S0051</x:v>
      </x:c>
      <x:c r="AB26" s="1" t="str">
        <x:v>Synthetic_Soybean_01</x:v>
      </x:c>
      <x:c r="AC26" s="1" t="str">
        <x:v>S0152</x:v>
      </x:c>
    </x:row>
    <x:row r="27">
      <x:c r="A27" s="1" t="n">
        <x:v>47</x:v>
      </x:c>
      <x:c r="B27" s="1" t="str">
        <x:v>S0104</x:v>
      </x:c>
      <x:c r="C27" s="1"/>
      <x:c r="D27" s="1" t="str">
        <x:v>SYNL000002</x:v>
      </x:c>
      <x:c r="E27" s="1" t="str">
        <x:v>S0152</x:v>
      </x:c>
      <x:c r="F27" s="1" t="n">
        <x:v>144</x:v>
      </x:c>
      <x:c r="G27" s="1" t="n">
        <x:v>24</x:v>
      </x:c>
      <x:c r="H27" s="1" t="n">
        <x:v>6</x:v>
      </x:c>
      <x:c r="I27" s="1" t="n">
        <x:v>88</x:v>
      </x:c>
      <x:c r="J27" s="1" t="n">
        <x:v>51.82</x:v>
      </x:c>
      <x:c r="K27" s="1" t="n">
        <x:v>5.53</x:v>
      </x:c>
      <x:c r="L27" s="1" t="n">
        <x:v>0.8</x:v>
      </x:c>
      <x:c r="M27" s="1" t="str">
        <x:v>S0134</x:v>
      </x:c>
      <x:c r="N27" s="1" t="str">
        <x:v>S0046</x:v>
      </x:c>
      <x:c r="O27" s="1" t="str">
        <x:v>SYN1</x:v>
      </x:c>
      <x:c r="P27" s="1" t="str">
        <x:v>S0068</x:v>
      </x:c>
      <x:c r="Q27" s="1" t="str">
        <x:v>S0100</x:v>
      </x:c>
      <x:c r="R27" s="1"/>
      <x:c r="S27" s="1" t="str">
        <x:v>S0034</x:v>
      </x:c>
      <x:c r="T27" s="1"/>
      <x:c r="U27" s="1" t="str">
        <x:v>UNKNOWN</x:v>
      </x:c>
      <x:c r="V27" s="1"/>
      <x:c r="W27" s="1"/>
      <x:c r="X27" s="1"/>
      <x:c r="Y27" s="1" t="str">
        <x:v>S0058</x:v>
      </x:c>
      <x:c r="Z27" s="1"/>
      <x:c r="AA27" s="1" t="str">
        <x:v>S0052</x:v>
      </x:c>
      <x:c r="AB27" s="1" t="str">
        <x:v>Synthetic_Barley_01</x:v>
      </x:c>
      <x:c r="AC27" s="1" t="str">
        <x:v>S0152</x:v>
      </x:c>
    </x:row>
    <x:row r="28">
      <x:c r="A28" s="1" t="n">
        <x:v>53</x:v>
      </x:c>
      <x:c r="B28" s="1" t="str">
        <x:v>S0105</x:v>
      </x:c>
      <x:c r="C28" s="1"/>
      <x:c r="D28" s="1" t="str">
        <x:v>SYNL000002</x:v>
      </x:c>
      <x:c r="E28" s="1" t="str">
        <x:v>S0152</x:v>
      </x:c>
      <x:c r="F28" s="1" t="n">
        <x:v>156</x:v>
      </x:c>
      <x:c r="G28" s="1" t="n">
        <x:v>26</x:v>
      </x:c>
      <x:c r="H28" s="1" t="n">
        <x:v>6</x:v>
      </x:c>
      <x:c r="I28" s="1"/>
      <x:c r="J28" s="1" t="n">
        <x:v>51.82</x:v>
      </x:c>
      <x:c r="K28" s="1" t="n">
        <x:v>5.53</x:v>
      </x:c>
      <x:c r="L28" s="1" t="n">
        <x:v>0.8</x:v>
      </x:c>
      <x:c r="M28" s="1" t="str">
        <x:v>S0135</x:v>
      </x:c>
      <x:c r="N28" s="1" t="str">
        <x:v>S0046</x:v>
      </x:c>
      <x:c r="O28" s="1" t="str">
        <x:v>SYN1</x:v>
      </x:c>
      <x:c r="P28" s="1" t="str">
        <x:v>S0068</x:v>
      </x:c>
      <x:c r="Q28" s="1" t="str">
        <x:v>S0100</x:v>
      </x:c>
      <x:c r="R28" s="1"/>
      <x:c r="S28" s="1" t="str">
        <x:v>S0035</x:v>
      </x:c>
      <x:c r="T28" s="1"/>
      <x:c r="U28" s="1"/>
      <x:c r="V28" s="1"/>
      <x:c r="W28" s="1"/>
      <x:c r="X28" s="1"/>
      <x:c r="Y28" s="1" t="str">
        <x:v>S0058</x:v>
      </x:c>
      <x:c r="Z28" s="1" t="str">
        <x:v>UNKNOWN</x:v>
      </x:c>
      <x:c r="AA28" s="1" t="str">
        <x:v>S0052</x:v>
      </x:c>
      <x:c r="AB28" s="1" t="str">
        <x:v>Synthetic_Barley_01</x:v>
      </x:c>
      <x:c r="AC28" s="1" t="str">
        <x:v>S0152</x:v>
      </x:c>
    </x:row>
    <x:row r="29">
      <x:c r="A29" s="1" t="str">
        <x:v>! estimated</x:v>
      </x:c>
      <x:c r="B29" s="1" t="str">
        <x:v>Synthetic structural annotation</x:v>
      </x:c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</x:row>
    <x:row r="31">
      <x:c r="A31" s="1" t="str">
        <x:v>! Section</x:v>
      </x:c>
      <x:c r="B31" s="1" t="str">
        <x:v>Crop_observations_summary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</x:row>
    <x:row r="32">
      <x:c r="A32" s="1" t="str">
        <x:v>! Definitions</x:v>
      </x:c>
      <x:c r="B32" s="1" t="str">
        <x:v>N fixed during season</x:v>
      </x:c>
      <x:c r="C32" s="1"/>
      <x:c r="D32" s="1" t="str">
        <x:v>Phosphorus in above ground plant parts at maturity</x:v>
      </x:c>
      <x:c r="E32" s="1" t="str">
        <x:v>Grain N concentration at maturity</x:v>
      </x:c>
      <x:c r="F32" s="1" t="str">
        <x:v>Harvest index at maturity</x:v>
      </x:c>
      <x:c r="G32" s="1" t="str">
        <x:v>Tiller number per area at maturity</x:v>
      </x:c>
      <x:c r="H32" s="1" t="str">
        <x:v>Panicle number per area at maturity</x:v>
      </x:c>
      <x:c r="I32" s="1" t="str">
        <x:v>Pod, ear, panicle number per area at maturity</x:v>
      </x:c>
      <x:c r="J32" s="1" t="str">
        <x:v>Plant height (e.g., including spikes above canopy per se), maximum value in season</x:v>
      </x:c>
      <x:c r="K32" s="1" t="str">
        <x:v>Grain dry wt at maturity</x:v>
      </x:c>
      <x:c r="L32" s="1" t="str">
        <x:v>Tops dry weight at anthesis</x:v>
      </x:c>
      <x:c r="M32" s="1" t="str">
        <x:v>Grain starch concentration at maturity</x:v>
      </x:c>
      <x:c r="N32" s="1" t="str">
        <x:v>Grain protein concentration at maturity</x:v>
      </x:c>
      <x:c r="O32" s="1" t="str">
        <x:v>Grain oil concentration at maturity</x:v>
      </x:c>
      <x:c r="P32" s="1" t="str">
        <x:v>Leaf area index, maximum</x:v>
      </x:c>
      <x:c r="Q32" s="1" t="str">
        <x:v>Tops dry weight at harvest</x:v>
      </x:c>
      <x:c r="R32" s="1" t="str">
        <x:v>Growth stage, silking date; use YYYY-MM-DD.</x:v>
      </x:c>
      <x:c r="S32" s="1" t="str">
        <x:v>Growth stage date, harvest; use YYYY-MM-DD.</x:v>
      </x:c>
      <x:c r="T32" s="1" t="str">
        <x:v>Growth stage of physiol. maturity, as date; use YYYY-MM-DD.</x:v>
      </x:c>
      <x:c r="U32" s="1" t="str">
        <x:v>One or more represented plot_season_id values for this observation or layer row. The row's plot_season_id must be included; use a single ID for a single plot-season; use multiple IDs only for a broader observation. The API stores the trimmed, duplicate-free list in lexicographic order. The canonical group list is part of this summary table logical key.</x:v>
      </x:c>
      <x:c r="V32" s="1" t="str">
        <x:v>Growth stage date, anthesis; use YYYY-MM-DD.</x:v>
      </x:c>
      <x:c r="W32" s="1" t="str">
        <x:v>date helper</x:v>
      </x:c>
      <x:c r="X32" s="1" t="str">
        <x:v>date helper</x:v>
      </x:c>
      <x:c r="Y32" s="1"/>
      <x:c r="Z32" s="1"/>
      <x:c r="AA32" s="1"/>
      <x:c r="AB32" s="1"/>
      <x:c r="AC32" s="1"/>
    </x:row>
    <x:row r="33">
      <x:c r="A33" s="1" t="str">
        <x:v>! Units</x:v>
      </x:c>
      <x:c r="B33" s="1" t="str">
        <x:v>kg/ha</x:v>
      </x:c>
      <x:c r="C33" s="1"/>
      <x:c r="D33" s="1" t="str">
        <x:v>kg/ha</x:v>
      </x:c>
      <x:c r="E33" s="1" t="str">
        <x:v>%</x:v>
      </x:c>
      <x:c r="F33" s="1" t="str">
        <x:v>unitless</x:v>
      </x:c>
      <x:c r="G33" s="1" t="str">
        <x:v>number/m2</x:v>
      </x:c>
      <x:c r="H33" s="1" t="str">
        <x:v>number/m2</x:v>
      </x:c>
      <x:c r="I33" s="1" t="str">
        <x:v>number/m2</x:v>
      </x:c>
      <x:c r="J33" s="1" t="str">
        <x:v>m</x:v>
      </x:c>
      <x:c r="K33" s="1" t="str">
        <x:v>kg/ha</x:v>
      </x:c>
      <x:c r="L33" s="1" t="str">
        <x:v>kg/ha</x:v>
      </x:c>
      <x:c r="M33" s="1" t="str">
        <x:v>%</x:v>
      </x:c>
      <x:c r="N33" s="1" t="str">
        <x:v>%</x:v>
      </x:c>
      <x:c r="O33" s="1" t="str">
        <x:v>%</x:v>
      </x:c>
      <x:c r="P33" s="1" t="str">
        <x:v>m2/m2</x:v>
      </x:c>
      <x:c r="Q33" s="1" t="str">
        <x:v>kg/ha</x:v>
      </x:c>
      <x:c r="R33" s="1" t="str">
        <x:v>date</x:v>
      </x:c>
      <x:c r="S33" s="1" t="str">
        <x:v>date</x:v>
      </x:c>
      <x:c r="T33" s="1" t="str">
        <x:v>date</x:v>
      </x:c>
      <x:c r="U33" s="1" t="str">
        <x:v>text</x:v>
      </x:c>
      <x:c r="V33" s="1" t="str">
        <x:v>date</x:v>
      </x:c>
      <x:c r="W33" s="1" t="str">
        <x:v>date helper</x:v>
      </x:c>
      <x:c r="X33" s="1" t="str">
        <x:v>date helper</x:v>
      </x:c>
      <x:c r="Y33" s="1"/>
      <x:c r="Z33" s="1"/>
      <x:c r="AA33" s="1"/>
      <x:c r="AB33" s="1"/>
      <x:c r="AC33" s="1"/>
    </x:row>
    <x:row r="34">
      <x:c r="A34" s="2" t="str">
        <x:v>%</x:v>
      </x:c>
      <x:c r="B34" s="2" t="str">
        <x:v> NFXM </x:v>
      </x:c>
      <x:c r="C34" s="2"/>
      <x:c r="D34" s="2" t="str">
        <x:v>CPAM</x:v>
      </x:c>
      <x:c r="E34" s="2" t="str">
        <x:v>gn%m</x:v>
      </x:c>
      <x:c r="F34" s="2" t="str">
        <x:v>HIAM</x:v>
      </x:c>
      <x:c r="G34" s="2" t="str">
        <x:v>T#AM</x:v>
      </x:c>
      <x:c r="H34" s="2" t="str">
        <x:v> pn#am </x:v>
      </x:c>
      <x:c r="I34" s="2" t="str">
        <x:v>PD#AM</x:v>
      </x:c>
      <x:c r="J34" s="2" t="str">
        <x:v>PHTX</x:v>
      </x:c>
      <x:c r="K34" s="2" t="str">
        <x:v>gwam</x:v>
      </x:c>
      <x:c r="L34" s="2" t="str">
        <x:v>CWAA</x:v>
      </x:c>
      <x:c r="M34" s="2" t="str">
        <x:v> GS%M </x:v>
      </x:c>
      <x:c r="N34" s="2" t="str">
        <x:v>gpr%m</x:v>
      </x:c>
      <x:c r="O34" s="2" t="str">
        <x:v>GL%M</x:v>
      </x:c>
      <x:c r="P34" s="2" t="str">
        <x:v>LAIX</x:v>
      </x:c>
      <x:c r="Q34" s="2" t="str">
        <x:v>cwah</x:v>
      </x:c>
      <x:c r="R34" s="2" t="str">
        <x:v> SKDAT </x:v>
      </x:c>
      <x:c r="S34" s="2" t="str">
        <x:v>HDATE</x:v>
      </x:c>
      <x:c r="T34" s="2" t="str">
        <x:v>mdat</x:v>
      </x:c>
      <x:c r="U34" s="2" t="str">
        <x:v>GRPPL_CO</x:v>
      </x:c>
      <x:c r="V34" s="2" t="str">
        <x:v>ADAT</x:v>
      </x:c>
      <x:c r="W34" s="2" t="str">
        <x:v>!YEAR</x:v>
      </x:c>
      <x:c r="X34" s="2" t="str">
        <x:v>!DOY</x:v>
      </x:c>
      <x:c r="Y34" s="2"/>
      <x:c r="Z34" s="2"/>
      <x:c r="AA34" s="2"/>
      <x:c r="AB34" s="2"/>
      <x:c r="AC34" s="2"/>
    </x:row>
    <x:row r="35">
      <x:c r="A35" s="1" t="n">
        <x:v>11</x:v>
      </x:c>
      <x:c r="B35" s="1"/>
      <x:c r="C35" s="1"/>
      <x:c r="D35" s="1" t="n">
        <x:v>19.36</x:v>
      </x:c>
      <x:c r="E35" s="1"/>
      <x:c r="F35" s="1" t="n">
        <x:v>0.44</x:v>
      </x:c>
      <x:c r="G35" s="1" t="n">
        <x:v>290</x:v>
      </x:c>
      <x:c r="H35" s="1"/>
      <x:c r="I35" s="1"/>
      <x:c r="J35" s="1"/>
      <x:c r="K35" s="1"/>
      <x:c r="L35" s="1" t="n">
        <x:v>4735</x:v>
      </x:c>
      <x:c r="M35" s="1"/>
      <x:c r="N35" s="1" t="n">
        <x:v>11.7</x:v>
      </x:c>
      <x:c r="O35" s="1"/>
      <x:c r="P35" s="1" t="n">
        <x:v>3.96</x:v>
      </x:c>
      <x:c r="Q35" s="1" t="n">
        <x:v>9680</x:v>
      </x:c>
      <x:c r="R35" s="1" t="str">
        <x:v>-99</x:v>
      </x:c>
      <x:c r="S35" s="1" t="str">
        <x:v>2023-7-8</x:v>
      </x:c>
      <x:c r="T35" s="1"/>
      <x:c r="U35" s="1" t="str">
        <x:v>11</x:v>
      </x:c>
      <x:c r="V35" s="1" t="str">
        <x:v> 2023-05-21</x:v>
      </x:c>
      <x:c r="W35" s="1" t="n">
        <x:f>YEAR(DATE(2023,5,21))</x:f>
        <x:v>2023</x:v>
      </x:c>
      <x:c r="X35" s="1" t="n">
        <x:f>DATE(2023,5,21)-DATE(2023,1,1)+1</x:f>
        <x:v>141</x:v>
      </x:c>
      <x:c r="Y35" s="1"/>
      <x:c r="Z35" s="1"/>
      <x:c r="AA35" s="1"/>
      <x:c r="AB35" s="1"/>
      <x:c r="AC35" s="1"/>
    </x:row>
    <x:row r="36">
      <x:c r="A36" s="1" t="n">
        <x:v>23</x:v>
      </x:c>
      <x:c r="B36" s="1"/>
      <x:c r="C36" s="1"/>
      <x:c r="D36" s="1"/>
      <x:c r="E36" s="1" t="n">
        <x:v>2</x:v>
      </x:c>
      <x:c r="F36" s="1"/>
      <x:c r="G36" s="1" t="str">
        <x:v>-99.0</x:v>
      </x:c>
      <x:c r="H36" s="1"/>
      <x:c r="I36" s="1"/>
      <x:c r="J36" s="1" t="n">
        <x:v>2.386</x:v>
      </x:c>
      <x:c r="K36" s="1" t="n">
        <x:v>7603</x:v>
      </x:c>
      <x:c r="L36" s="1"/>
      <x:c r="M36" s="1" t="n">
        <x:v>71.5</x:v>
      </x:c>
      <x:c r="N36" s="1"/>
      <x:c r="O36" s="1"/>
      <x:c r="P36" s="1" t="n">
        <x:v>4.84</x:v>
      </x:c>
      <x:c r="Q36" s="1" t="str">
        <x:v>-99</x:v>
      </x:c>
      <x:c r="R36" s="3" t="d">
        <x:v>2024-07-09T00:00:00.000Z</x:v>
      </x:c>
      <x:c r="S36" s="1"/>
      <x:c r="T36" s="1" t="str">
        <x:v>24231</x:v>
      </x:c>
      <x:c r="U36" s="1" t="str">
        <x:v>23</x:v>
      </x:c>
      <x:c r="V36" s="1" t="str">
        <x:v>-99.0</x:v>
      </x:c>
      <x:c r="W36" s="1"/>
      <x:c r="X36" s="1"/>
      <x:c r="Y36" s="1"/>
      <x:c r="Z36" s="1"/>
      <x:c r="AA36" s="1"/>
      <x:c r="AB36" s="1"/>
      <x:c r="AC36" s="1"/>
    </x:row>
    <x:row r="37">
      <x:c r="A37" s="1" t="n">
        <x:v>35</x:v>
      </x:c>
      <x:c r="B37" s="1" t="n">
        <x:v>79</x:v>
      </x:c>
      <x:c r="C37" s="1"/>
      <x:c r="D37" s="1" t="n">
        <x:v>14.08</x:v>
      </x:c>
      <x:c r="E37" s="1"/>
      <x:c r="F37" s="1" t="n">
        <x:v>0.38</x:v>
      </x:c>
      <x:c r="G37" s="1"/>
      <x:c r="H37" s="1"/>
      <x:c r="I37" s="1" t="n">
        <x:v>528</x:v>
      </x:c>
      <x:c r="J37" s="1" t="str">
        <x:v>-99.0</x:v>
      </x:c>
      <x:c r="K37" s="1" t="n">
        <x:v>7040</x:v>
      </x:c>
      <x:c r="L37" s="1" t="n">
        <x:v>3443</x:v>
      </x:c>
      <x:c r="M37" s="1"/>
      <x:c r="N37" s="1"/>
      <x:c r="O37" s="1" t="n">
        <x:v>19.7</x:v>
      </x:c>
      <x:c r="P37" s="1" t="n">
        <x:v>3.7</x:v>
      </x:c>
      <x:c r="Q37" s="1" t="n">
        <x:v>2675</x:v>
      </x:c>
      <x:c r="R37" s="1"/>
      <x:c r="S37" s="1" t="str">
        <x:v>25242</x:v>
      </x:c>
      <x:c r="T37" s="1" t="str">
        <x:v>2025-8-20</x:v>
      </x:c>
      <x:c r="U37" s="1" t="str">
        <x:v>35</x:v>
      </x:c>
      <x:c r="V37" s="1" t="str">
        <x:v> 2025-07-17</x:v>
      </x:c>
      <x:c r="W37" s="1" t="n">
        <x:f>YEAR(DATE(2025,7,17))</x:f>
        <x:v>2025</x:v>
      </x:c>
      <x:c r="X37" s="1" t="n">
        <x:f>DATE(2025,7,17)-DATE(2025,1,1)+1</x:f>
        <x:v>198</x:v>
      </x:c>
      <x:c r="Y37" s="1"/>
      <x:c r="Z37" s="1"/>
      <x:c r="AA37" s="1"/>
      <x:c r="AB37" s="1"/>
      <x:c r="AC37" s="1"/>
    </x:row>
    <x:row r="38">
      <x:c r="A38" s="1" t="n">
        <x:v>47</x:v>
      </x:c>
      <x:c r="B38" s="1"/>
      <x:c r="C38" s="1"/>
      <x:c r="D38" s="1"/>
      <x:c r="E38" s="1" t="n">
        <x:v>1.9</x:v>
      </x:c>
      <x:c r="F38" s="1"/>
      <x:c r="G38" s="1"/>
      <x:c r="H38" s="1"/>
      <x:c r="I38" s="1"/>
      <x:c r="J38" s="1" t="n">
        <x:v>0.895</x:v>
      </x:c>
      <x:c r="K38" s="1"/>
      <x:c r="L38" s="1" t="str">
        <x:v>-99.0</x:v>
      </x:c>
      <x:c r="M38" s="1"/>
      <x:c r="N38" s="1" t="n">
        <x:v>10.8</x:v>
      </x:c>
      <x:c r="O38" s="1"/>
      <x:c r="P38" s="1" t="n">
        <x:v>3.52</x:v>
      </x:c>
      <x:c r="Q38" s="1" t="n">
        <x:v>8360</x:v>
      </x:c>
      <x:c r="R38" s="1"/>
      <x:c r="S38" s="3" t="d">
        <x:v>2026-07-21T00:00:00.000Z</x:v>
      </x:c>
      <x:c r="T38" s="1"/>
      <x:c r="U38" s="1" t="str">
        <x:v>47</x:v>
      </x:c>
      <x:c r="V38" s="1"/>
      <x:c r="W38" s="1"/>
      <x:c r="X38" s="1"/>
      <x:c r="Y38" s="1"/>
      <x:c r="Z38" s="1"/>
      <x:c r="AA38" s="1"/>
      <x:c r="AB38" s="1"/>
      <x:c r="AC38" s="1"/>
    </x:row>
    <x:row r="39">
      <x:c r="A39" s="1" t="n">
        <x:v>17</x:v>
      </x:c>
      <x:c r="B39" s="1"/>
      <x:c r="C39" s="1"/>
      <x:c r="D39" s="1" t="n">
        <x:v>22</x:v>
      </x:c>
      <x:c r="E39" s="1"/>
      <x:c r="F39" s="1" t="n">
        <x:v>0.44</x:v>
      </x:c>
      <x:c r="G39" s="1" t="n">
        <x:v>330</x:v>
      </x:c>
      <x:c r="H39" s="1"/>
      <x:c r="I39" s="1"/>
      <x:c r="J39" s="1"/>
      <x:c r="K39" s="1" t="n">
        <x:v>4840</x:v>
      </x:c>
      <x:c r="L39" s="1" t="n">
        <x:v>5380</x:v>
      </x:c>
      <x:c r="M39" s="1"/>
      <x:c r="N39" s="1" t="n">
        <x:v>11.1</x:v>
      </x:c>
      <x:c r="O39" s="1"/>
      <x:c r="P39" s="1" t="n">
        <x:v>4.5</x:v>
      </x:c>
      <x:c r="Q39" s="1"/>
      <x:c r="R39" s="1"/>
      <x:c r="S39" s="1"/>
      <x:c r="T39" s="1" t="str">
        <x:v>2023-6-28</x:v>
      </x:c>
      <x:c r="U39" s="1" t="str">
        <x:v>17</x:v>
      </x:c>
      <x:c r="V39" s="1" t="str">
        <x:v> 2023-05-21</x:v>
      </x:c>
      <x:c r="W39" s="1" t="n">
        <x:f>YEAR(DATE(2023,5,21))</x:f>
        <x:v>2023</x:v>
      </x:c>
      <x:c r="X39" s="1" t="n">
        <x:f>DATE(2023,5,21)-DATE(2023,1,1)+1</x:f>
        <x:v>141</x:v>
      </x:c>
      <x:c r="Y39" s="1"/>
      <x:c r="Z39" s="1"/>
      <x:c r="AA39" s="1"/>
      <x:c r="AB39" s="1"/>
      <x:c r="AC39" s="1"/>
    </x:row>
    <x:row r="40">
      <x:c r="A40" s="1" t="n">
        <x:v>29</x:v>
      </x:c>
      <x:c r="B40" s="1"/>
      <x:c r="C40" s="1"/>
      <x:c r="D40" s="1" t="str">
        <x:v>-99.0</x:v>
      </x:c>
      <x:c r="E40" s="1" t="n">
        <x:v>1.8</x:v>
      </x:c>
      <x:c r="F40" s="1"/>
      <x:c r="G40" s="1"/>
      <x:c r="H40" s="1"/>
      <x:c r="I40" s="1" t="str">
        <x:v>-99.0</x:v>
      </x:c>
      <x:c r="J40" s="1" t="n">
        <x:v>2.4</x:v>
      </x:c>
      <x:c r="K40" s="1" t="n">
        <x:v>8640</x:v>
      </x:c>
      <x:c r="L40" s="1"/>
      <x:c r="M40" s="1" t="n">
        <x:v>70.5</x:v>
      </x:c>
      <x:c r="N40" s="1"/>
      <x:c r="O40" s="1"/>
      <x:c r="P40" s="1" t="n">
        <x:v>5.5</x:v>
      </x:c>
      <x:c r="Q40" s="1" t="n">
        <x:v>18000</x:v>
      </x:c>
      <x:c r="R40" s="1" t="str">
        <x:v> 2024-07-09</x:v>
      </x:c>
      <x:c r="S40" s="3" t="d">
        <x:v>2024-08-28T00:00:00.000Z</x:v>
      </x:c>
      <x:c r="T40" s="1" t="str">
        <x:v>24231</x:v>
      </x:c>
      <x:c r="U40" s="1" t="str">
        <x:v>29</x:v>
      </x:c>
      <x:c r="V40" s="1"/>
      <x:c r="W40" s="1"/>
      <x:c r="X40" s="1"/>
      <x:c r="Y40" s="1"/>
      <x:c r="Z40" s="1"/>
      <x:c r="AA40" s="1"/>
      <x:c r="AB40" s="1"/>
      <x:c r="AC40" s="1"/>
    </x:row>
    <x:row r="41">
      <x:c r="A41" s="1" t="n">
        <x:v>41</x:v>
      </x:c>
      <x:c r="B41" s="1" t="n">
        <x:v>90</x:v>
      </x:c>
      <x:c r="C41" s="1"/>
      <x:c r="D41" s="1" t="n">
        <x:v>16</x:v>
      </x:c>
      <x:c r="E41" s="1" t="str">
        <x:v>-99</x:v>
      </x:c>
      <x:c r="F41" s="1" t="n">
        <x:v>0.38</x:v>
      </x:c>
      <x:c r="G41" s="1"/>
      <x:c r="H41" s="1"/>
      <x:c r="I41" s="1" t="n">
        <x:v>600</x:v>
      </x:c>
      <x:c r="J41" s="1"/>
      <x:c r="K41" s="1" t="str">
        <x:v>-99</x:v>
      </x:c>
      <x:c r="L41" s="1" t="n">
        <x:v>3913</x:v>
      </x:c>
      <x:c r="M41" s="1"/>
      <x:c r="N41" s="1"/>
      <x:c r="O41" s="1" t="n">
        <x:v>19.9</x:v>
      </x:c>
      <x:c r="P41" s="1" t="n">
        <x:v>4.2</x:v>
      </x:c>
      <x:c r="Q41" s="1" t="n">
        <x:v>8000</x:v>
      </x:c>
      <x:c r="R41" s="1"/>
      <x:c r="S41" s="1" t="str">
        <x:v>25242</x:v>
      </x:c>
      <x:c r="T41" s="1"/>
      <x:c r="U41" s="1" t="str">
        <x:v>41</x:v>
      </x:c>
      <x:c r="V41" s="1" t="str">
        <x:v>2025-7-17</x:v>
      </x:c>
      <x:c r="W41" s="1" t="n">
        <x:f>YEAR(DATE(2025,7,17))</x:f>
        <x:v>2025</x:v>
      </x:c>
      <x:c r="X41" s="1" t="n">
        <x:f>DATE(2025,7,17)-DATE(2025,1,1)+1</x:f>
        <x:v>198</x:v>
      </x:c>
      <x:c r="Y41" s="1"/>
      <x:c r="Z41" s="1"/>
      <x:c r="AA41" s="1"/>
      <x:c r="AB41" s="1"/>
      <x:c r="AC41" s="1"/>
    </x:row>
    <x:row r="42">
      <x:c r="A42" s="1" t="n">
        <x:v>53</x:v>
      </x:c>
      <x:c r="B42" s="1"/>
      <x:c r="C42" s="1"/>
      <x:c r="D42" s="1"/>
      <x:c r="E42" s="1" t="n">
        <x:v>2</x:v>
      </x:c>
      <x:c r="F42" s="1"/>
      <x:c r="G42" s="1" t="str">
        <x:v>-99.0</x:v>
      </x:c>
      <x:c r="H42" s="1"/>
      <x:c r="I42" s="1"/>
      <x:c r="J42" s="1" t="n">
        <x:v>0.9</x:v>
      </x:c>
      <x:c r="K42" s="1" t="n">
        <x:v>4085</x:v>
      </x:c>
      <x:c r="L42" s="1"/>
      <x:c r="M42" s="1" t="str">
        <x:v>-99.0</x:v>
      </x:c>
      <x:c r="N42" s="1" t="n">
        <x:v>12</x:v>
      </x:c>
      <x:c r="O42" s="1"/>
      <x:c r="P42" s="1" t="n">
        <x:v>4</x:v>
      </x:c>
      <x:c r="Q42" s="1"/>
      <x:c r="R42" s="1"/>
      <x:c r="S42" s="1" t="str">
        <x:v>-99.0</x:v>
      </x:c>
      <x:c r="T42" s="3" t="d">
        <x:v>2026-07-11T00:00:00.000Z</x:v>
      </x:c>
      <x:c r="U42" s="1" t="str">
        <x:v>53</x:v>
      </x:c>
      <x:c r="V42" s="1"/>
      <x:c r="W42" s="1"/>
      <x:c r="X42" s="1"/>
      <x:c r="Y42" s="1"/>
      <x:c r="Z42" s="1"/>
      <x:c r="AA42" s="1"/>
      <x:c r="AB42" s="1"/>
      <x:c r="AC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</x:row>
    <x:row r="44">
      <x:c r="A44" s="1" t="str">
        <x:v>! Section</x:v>
      </x:c>
      <x:c r="B44" s="1" t="str">
        <x:v>Crop_observations_timeseries</x:v>
      </x:c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</x:row>
    <x:row r="45">
      <x:c r="A45" s="1" t="str">
        <x:v>! Definitions</x:v>
      </x:c>
      <x:c r="B45" s="1" t="str">
        <x:v>Date of measurement; use YYYY-MM-DD.</x:v>
      </x:c>
      <x:c r="C45" s="1"/>
      <x:c r="D45" s="1" t="str">
        <x:v>One or more represented plot_season_id values for this observation or layer row. The row's plot_season_id must be included; use a single ID for a single plot-season; use multiple IDs only for a broader observation. The API stores the trimmed, duplicate-free list in lexicographic order.</x:v>
      </x:c>
      <x:c r="E45" s="1" t="str">
        <x:v>Canopy height</x:v>
      </x:c>
      <x:c r="F45" s="1" t="str">
        <x:v>Plant_height (e.g., including spikes above canopy per se)</x:v>
      </x:c>
      <x:c r="G45" s="1" t="str">
        <x:v>Dry weight of above-ground parts</x:v>
      </x:c>
      <x:c r="H45" s="1" t="str">
        <x:v>Grain dry weight</x:v>
      </x:c>
      <x:c r="I45" s="1" t="str">
        <x:v>Leaf dry weight</x:v>
      </x:c>
      <x:c r="J45" s="1" t="str">
        <x:v>Root dry weight</x:v>
      </x:c>
      <x:c r="K45" s="1" t="str">
        <x:v>Stem dry weight</x:v>
      </x:c>
      <x:c r="L45" s="1" t="str">
        <x:v>Root depth, maximum extent at date</x:v>
      </x:c>
      <x:c r="M45" s="1" t="str">
        <x:v>Leaf area index on a given day</x:v>
      </x:c>
      <x:c r="N45" s="1" t="str">
        <x:v>Leaf number per main stem</x:v>
      </x:c>
      <x:c r="O45" s="1" t="str">
        <x:v>Plant density on sampling date</x:v>
      </x:c>
      <x:c r="P45" s="1" t="str">
        <x:v>Leaf N concentration</x:v>
      </x:c>
      <x:c r="Q45" s="1" t="str">
        <x:v>Nitrogen in above ground plant parts</x:v>
      </x:c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</x:row>
    <x:row r="46">
      <x:c r="A46" s="1" t="str">
        <x:v>! Units</x:v>
      </x:c>
      <x:c r="B46" s="1" t="str">
        <x:v>date</x:v>
      </x:c>
      <x:c r="C46" s="1"/>
      <x:c r="D46" s="1" t="str">
        <x:v>text</x:v>
      </x:c>
      <x:c r="E46" s="1" t="str">
        <x:v>m</x:v>
      </x:c>
      <x:c r="F46" s="1" t="str">
        <x:v>m</x:v>
      </x:c>
      <x:c r="G46" s="1" t="str">
        <x:v>kg/ha</x:v>
      </x:c>
      <x:c r="H46" s="1" t="str">
        <x:v>kg/ha</x:v>
      </x:c>
      <x:c r="I46" s="1" t="str">
        <x:v>kg/ha</x:v>
      </x:c>
      <x:c r="J46" s="1" t="str">
        <x:v>kg/ha</x:v>
      </x:c>
      <x:c r="K46" s="1" t="str">
        <x:v>kg/ha</x:v>
      </x:c>
      <x:c r="L46" s="1" t="str">
        <x:v>m</x:v>
      </x:c>
      <x:c r="M46" s="1" t="str">
        <x:v>m2/m2</x:v>
      </x:c>
      <x:c r="N46" s="1" t="str">
        <x:v>number</x:v>
      </x:c>
      <x:c r="O46" s="1" t="str">
        <x:v>number/m2</x:v>
      </x:c>
      <x:c r="P46" s="1" t="str">
        <x:v>%</x:v>
      </x:c>
      <x:c r="Q46" s="1" t="str">
        <x:v>kg[N]/ha</x:v>
      </x:c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</x:row>
    <x:row r="47">
      <x:c r="A47" s="2" t="str">
        <x:v>%</x:v>
      </x:c>
      <x:c r="B47" s="2" t="str">
        <x:v>DATE</x:v>
      </x:c>
      <x:c r="C47" s="2"/>
      <x:c r="D47" s="2" t="str">
        <x:v>GRPPL_CO</x:v>
      </x:c>
      <x:c r="E47" s="2" t="str">
        <x:v>chtd</x:v>
      </x:c>
      <x:c r="F47" s="2" t="str">
        <x:v>PHTD</x:v>
      </x:c>
      <x:c r="G47" s="2" t="str">
        <x:v> CWAD </x:v>
      </x:c>
      <x:c r="H47" s="2" t="str">
        <x:v>gwad</x:v>
      </x:c>
      <x:c r="I47" s="2" t="str">
        <x:v>LWAD</x:v>
      </x:c>
      <x:c r="J47" s="2" t="str">
        <x:v>RWAD</x:v>
      </x:c>
      <x:c r="K47" s="2" t="str">
        <x:v>swad</x:v>
      </x:c>
      <x:c r="L47" s="2" t="str">
        <x:v> RDPD </x:v>
      </x:c>
      <x:c r="M47" s="2" t="str">
        <x:v>LAID</x:v>
      </x:c>
      <x:c r="N47" s="2" t="str">
        <x:v>l#sd</x:v>
      </x:c>
      <x:c r="O47" s="2" t="str">
        <x:v>PLPAD</x:v>
      </x:c>
      <x:c r="P47" s="2" t="str">
        <x:v>LN%D</x:v>
      </x:c>
      <x:c r="Q47" s="2" t="str">
        <x:v> cnad </x:v>
      </x:c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</x:row>
    <x:row r="48">
      <x:c r="A48" s="1" t="n">
        <x:v>11</x:v>
      </x:c>
      <x:c r="B48" s="1" t="str">
        <x:v> 2023-03-28</x:v>
      </x:c>
      <x:c r="C48" s="1"/>
      <x:c r="D48" s="1" t="str">
        <x:v>11</x:v>
      </x:c>
      <x:c r="E48" s="1"/>
      <x:c r="F48" s="1" t="n">
        <x:v>0.209</x:v>
      </x:c>
      <x:c r="G48" s="1" t="n">
        <x:v>680</x:v>
      </x:c>
      <x:c r="H48" s="1"/>
      <x:c r="I48" s="1" t="str">
        <x:v>-99</x:v>
      </x:c>
      <x:c r="J48" s="1" t="n">
        <x:v>122</x:v>
      </x:c>
      <x:c r="K48" s="1"/>
      <x:c r="L48" s="1" t="n">
        <x:v>0.32</x:v>
      </x:c>
      <x:c r="M48" s="1" t="n">
        <x:v>0.99</x:v>
      </x:c>
      <x:c r="N48" s="1"/>
      <x:c r="O48" s="1" t="n">
        <x:v>212.08</x:v>
      </x:c>
      <x:c r="P48" s="1"/>
      <x:c r="Q48" s="1" t="str">
        <x:v>-99</x:v>
      </x:c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</x:row>
    <x:row r="49">
      <x:c r="A49" s="1" t="n">
        <x:v>11</x:v>
      </x:c>
      <x:c r="B49" s="1" t="str">
        <x:v>2023-4-21</x:v>
      </x:c>
      <x:c r="C49" s="1"/>
      <x:c r="D49" s="1" t="str">
        <x:v>11</x:v>
      </x:c>
      <x:c r="E49" s="1"/>
      <x:c r="F49" s="1"/>
      <x:c r="G49" s="1" t="n">
        <x:v>2226</x:v>
      </x:c>
      <x:c r="H49" s="1"/>
      <x:c r="I49" s="1"/>
      <x:c r="J49" s="1" t="n">
        <x:v>401</x:v>
      </x:c>
      <x:c r="K49" s="1" t="str">
        <x:v>-99.0</x:v>
      </x:c>
      <x:c r="L49" s="1" t="n">
        <x:v>0.48</x:v>
      </x:c>
      <x:c r="M49" s="1" t="n">
        <x:v>2.31</x:v>
      </x:c>
      <x:c r="N49" s="1"/>
      <x:c r="O49" s="1" t="n">
        <x:v>210.32</x:v>
      </x:c>
      <x:c r="P49" s="1" t="str">
        <x:v>-99</x:v>
      </x:c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</x:row>
    <x:row r="50">
      <x:c r="A50" s="1" t="n">
        <x:v>11</x:v>
      </x:c>
      <x:c r="B50" s="1" t="str">
        <x:v>23159</x:v>
      </x:c>
      <x:c r="C50" s="1"/>
      <x:c r="D50" s="1" t="str">
        <x:v>11</x:v>
      </x:c>
      <x:c r="E50" s="1"/>
      <x:c r="F50" s="1" t="n">
        <x:v>1.044</x:v>
      </x:c>
      <x:c r="G50" s="1"/>
      <x:c r="H50" s="1"/>
      <x:c r="I50" s="1"/>
      <x:c r="J50" s="1" t="n">
        <x:v>1165</x:v>
      </x:c>
      <x:c r="K50" s="1"/>
      <x:c r="L50" s="1" t="n">
        <x:v>0.8</x:v>
      </x:c>
      <x:c r="M50" s="1" t="n">
        <x:v>2.89</x:v>
      </x:c>
      <x:c r="N50" s="1" t="str">
        <x:v>-99</x:v>
      </x:c>
      <x:c r="O50" s="1" t="n">
        <x:v>206.8</x:v>
      </x:c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</x:row>
    <x:row r="51">
      <x:c r="A51" s="1" t="n">
        <x:v>11</x:v>
      </x:c>
      <x:c r="B51" s="3" t="d">
        <x:v>2023-07-02T00:00:00.000Z</x:v>
      </x:c>
      <x:c r="C51" s="1"/>
      <x:c r="D51" s="1" t="str">
        <x:v>11</x:v>
      </x:c>
      <x:c r="E51" s="1"/>
      <x:c r="F51" s="1"/>
      <x:c r="G51" s="1" t="n">
        <x:v>9009</x:v>
      </x:c>
      <x:c r="H51" s="1"/>
      <x:c r="I51" s="1" t="str">
        <x:v>-99</x:v>
      </x:c>
      <x:c r="J51" s="1" t="n">
        <x:v>1622</x:v>
      </x:c>
      <x:c r="K51" s="1"/>
      <x:c r="L51" s="1" t="n">
        <x:v>0.96</x:v>
      </x:c>
      <x:c r="M51" s="1" t="n">
        <x:v>1.47</x:v>
      </x:c>
      <x:c r="N51" s="1"/>
      <x:c r="O51" s="1" t="n">
        <x:v>205.04</x:v>
      </x:c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</x:row>
    <x:row r="52">
      <x:c r="A52" s="1" t="n">
        <x:v>23</x:v>
      </x:c>
      <x:c r="B52" s="1" t="str">
        <x:v> 2024-05-10</x:v>
      </x:c>
      <x:c r="C52" s="1"/>
      <x:c r="D52" s="1" t="str">
        <x:v>23</x:v>
      </x:c>
      <x:c r="E52" s="1"/>
      <x:c r="F52" s="1"/>
      <x:c r="G52" s="1" t="n">
        <x:v>1112</x:v>
      </x:c>
      <x:c r="H52" s="1" t="str">
        <x:v>-99</x:v>
      </x:c>
      <x:c r="I52" s="1"/>
      <x:c r="J52" s="1"/>
      <x:c r="K52" s="1"/>
      <x:c r="L52" s="1"/>
      <x:c r="M52" s="1" t="n">
        <x:v>1.21</x:v>
      </x:c>
      <x:c r="N52" s="1" t="n">
        <x:v>4.3</x:v>
      </x:c>
      <x:c r="O52" s="1"/>
      <x:c r="P52" s="1" t="n">
        <x:v>3.6</x:v>
      </x:c>
      <x:c r="Q52" s="1" t="n">
        <x:v>17.29</x:v>
      </x:c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</x:row>
    <x:row r="53">
      <x:c r="A53" s="1" t="n">
        <x:v>23</x:v>
      </x:c>
      <x:c r="B53" s="1" t="str">
        <x:v>2024-6-5</x:v>
      </x:c>
      <x:c r="C53" s="1"/>
      <x:c r="D53" s="1" t="str">
        <x:v>23</x:v>
      </x:c>
      <x:c r="E53" s="1"/>
      <x:c r="F53" s="1" t="n">
        <x:v>1.113</x:v>
      </x:c>
      <x:c r="G53" s="1"/>
      <x:c r="H53" s="1"/>
      <x:c r="I53" s="1" t="str">
        <x:v>-99</x:v>
      </x:c>
      <x:c r="J53" s="1"/>
      <x:c r="K53" s="1" t="str">
        <x:v>-99</x:v>
      </x:c>
      <x:c r="L53" s="1"/>
      <x:c r="M53" s="1" t="n">
        <x:v>2.82</x:v>
      </x:c>
      <x:c r="N53" s="1" t="n">
        <x:v>9.8</x:v>
      </x:c>
      <x:c r="O53" s="1"/>
      <x:c r="P53" s="1" t="n">
        <x:v>3.34</x:v>
      </x:c>
      <x:c r="Q53" s="1" t="n">
        <x:v>55.48</x:v>
      </x:c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</x:row>
    <x:row r="54">
      <x:c r="A54" s="1" t="n">
        <x:v>23</x:v>
      </x:c>
      <x:c r="B54" s="1" t="str">
        <x:v>24183</x:v>
      </x:c>
      <x:c r="C54" s="1"/>
      <x:c r="D54" s="1" t="str">
        <x:v>23</x:v>
      </x:c>
      <x:c r="E54" s="1" t="str">
        <x:v>-99</x:v>
      </x:c>
      <x:c r="F54" s="1" t="str">
        <x:v>-99.0</x:v>
      </x:c>
      <x:c r="G54" s="1" t="n">
        <x:v>6859</x:v>
      </x:c>
      <x:c r="H54" s="1" t="str">
        <x:v>-99</x:v>
      </x:c>
      <x:c r="I54" s="1"/>
      <x:c r="J54" s="1"/>
      <x:c r="K54" s="1"/>
      <x:c r="L54" s="1"/>
      <x:c r="M54" s="1" t="n">
        <x:v>4.44</x:v>
      </x:c>
      <x:c r="N54" s="1" t="n">
        <x:v>15.3</x:v>
      </x:c>
      <x:c r="O54" s="1" t="str">
        <x:v>-99</x:v>
      </x:c>
      <x:c r="P54" s="1" t="n">
        <x:v>3.08</x:v>
      </x:c>
      <x:c r="Q54" s="1" t="n">
        <x:v>103.89</x:v>
      </x:c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</x:row>
    <x:row r="55">
      <x:c r="A55" s="1" t="n">
        <x:v>23</x:v>
      </x:c>
      <x:c r="B55" s="3" t="d">
        <x:v>2024-07-27T00:00:00.000Z</x:v>
      </x:c>
      <x:c r="C55" s="1"/>
      <x:c r="D55" s="1" t="str">
        <x:v>23</x:v>
      </x:c>
      <x:c r="E55" s="1"/>
      <x:c r="F55" s="1" t="n">
        <x:v>2.386</x:v>
      </x:c>
      <x:c r="G55" s="1" t="n">
        <x:v>10589</x:v>
      </x:c>
      <x:c r="H55" s="1"/>
      <x:c r="I55" s="1" t="str">
        <x:v>-99.0</x:v>
      </x:c>
      <x:c r="J55" s="1"/>
      <x:c r="K55" s="1"/>
      <x:c r="L55" s="1"/>
      <x:c r="M55" s="1" t="n">
        <x:v>3.53</x:v>
      </x:c>
      <x:c r="N55" s="1" t="n">
        <x:v>18</x:v>
      </x:c>
      <x:c r="O55" s="1"/>
      <x:c r="P55" s="1" t="n">
        <x:v>2.82</x:v>
      </x:c>
      <x:c r="Q55" s="1" t="n">
        <x:v>159.97</x:v>
      </x:c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</x:row>
    <x:row r="56">
      <x:c r="A56" s="1" t="n">
        <x:v>23</x:v>
      </x:c>
      <x:c r="B56" s="1" t="str">
        <x:v> 2024-08-22</x:v>
      </x:c>
      <x:c r="C56" s="1"/>
      <x:c r="D56" s="1" t="str">
        <x:v>23</x:v>
      </x:c>
      <x:c r="E56" s="1"/>
      <x:c r="F56" s="1" t="str">
        <x:v>-99</x:v>
      </x:c>
      <x:c r="G56" s="1"/>
      <x:c r="H56" s="1"/>
      <x:c r="I56" s="1"/>
      <x:c r="J56" s="1"/>
      <x:c r="K56" s="1"/>
      <x:c r="L56" s="1"/>
      <x:c r="M56" s="1" t="n">
        <x:v>1.79</x:v>
      </x:c>
      <x:c r="N56" s="1" t="n">
        <x:v>18</x:v>
      </x:c>
      <x:c r="O56" s="1"/>
      <x:c r="P56" s="1" t="n">
        <x:v>2.56</x:v>
      </x:c>
      <x:c r="Q56" s="1" t="n">
        <x:v>222.39</x:v>
      </x:c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</x:row>
    <x:row r="57">
      <x:c r="A57" s="1" t="n">
        <x:v>35</x:v>
      </x:c>
      <x:c r="B57" s="1" t="str">
        <x:v>2025-5-28</x:v>
      </x:c>
      <x:c r="C57" s="1"/>
      <x:c r="D57" s="1" t="str">
        <x:v>35</x:v>
      </x:c>
      <x:c r="E57" s="1" t="n">
        <x:v>0.165</x:v>
      </x:c>
      <x:c r="F57" s="1" t="n">
        <x:v>0.189</x:v>
      </x:c>
      <x:c r="G57" s="1"/>
      <x:c r="H57" s="1"/>
      <x:c r="I57" s="1" t="n">
        <x:v>71</x:v>
      </x:c>
      <x:c r="J57" s="1"/>
      <x:c r="K57" s="1" t="n">
        <x:v>142</x:v>
      </x:c>
      <x:c r="L57" s="1"/>
      <x:c r="M57" s="1" t="n">
        <x:v>0.93</x:v>
      </x:c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</x:row>
    <x:row r="58">
      <x:c r="A58" s="1" t="n">
        <x:v>35</x:v>
      </x:c>
      <x:c r="B58" s="1" t="str">
        <x:v>25193</x:v>
      </x:c>
      <x:c r="C58" s="1"/>
      <x:c r="D58" s="1" t="str">
        <x:v>35</x:v>
      </x:c>
      <x:c r="E58" s="1" t="n">
        <x:v>0.628</x:v>
      </x:c>
      <x:c r="F58" s="1"/>
      <x:c r="G58" s="1" t="n">
        <x:v>3048</x:v>
      </x:c>
      <x:c r="H58" s="1"/>
      <x:c r="I58" s="1" t="n">
        <x:v>463</x:v>
      </x:c>
      <x:c r="J58" s="1"/>
      <x:c r="K58" s="1" t="n">
        <x:v>925</x:v>
      </x:c>
      <x:c r="L58" s="1"/>
      <x:c r="M58" s="1" t="n">
        <x:v>3.39</x:v>
      </x:c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</x:row>
    <x:row r="59">
      <x:c r="A59" s="1" t="n">
        <x:v>35</x:v>
      </x:c>
      <x:c r="B59" s="3" t="d">
        <x:v>2025-08-24T00:00:00.000Z</x:v>
      </x:c>
      <x:c r="C59" s="1"/>
      <x:c r="D59" s="1" t="str">
        <x:v>35</x:v>
      </x:c>
      <x:c r="E59" s="1" t="n">
        <x:v>0.85</x:v>
      </x:c>
      <x:c r="F59" s="1" t="n">
        <x:v>0.944</x:v>
      </x:c>
      <x:c r="G59" s="1" t="n">
        <x:v>2675</x:v>
      </x:c>
      <x:c r="H59" s="1" t="n">
        <x:v>6552</x:v>
      </x:c>
      <x:c r="I59" s="1" t="n">
        <x:v>976</x:v>
      </x:c>
      <x:c r="J59" s="1"/>
      <x:c r="K59" s="1" t="n">
        <x:v>1952</x:v>
      </x:c>
      <x:c r="L59" s="1"/>
      <x:c r="M59" s="1" t="n">
        <x:v>1.37</x:v>
      </x:c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</x:row>
    <x:row r="60">
      <x:c r="A60" s="1" t="n">
        <x:v>47</x:v>
      </x:c>
      <x:c r="B60" s="1" t="str">
        <x:v> 2026-04-06</x:v>
      </x:c>
      <x:c r="C60" s="1"/>
      <x:c r="D60" s="1" t="str">
        <x:v>47</x:v>
      </x:c>
      <x:c r="E60" s="1"/>
      <x:c r="F60" s="1" t="str">
        <x:v>-99.0</x:v>
      </x:c>
      <x:c r="G60" s="1" t="n">
        <x:v>587</x:v>
      </x:c>
      <x:c r="H60" s="1"/>
      <x:c r="I60" s="1"/>
      <x:c r="J60" s="1" t="n">
        <x:v>108</x:v>
      </x:c>
      <x:c r="K60" s="1"/>
      <x:c r="L60" s="1" t="n">
        <x:v>0.322</x:v>
      </x:c>
      <x:c r="M60" s="1" t="n">
        <x:v>0.88</x:v>
      </x:c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</x:row>
    <x:row r="61">
      <x:c r="A61" s="1" t="n">
        <x:v>47</x:v>
      </x:c>
      <x:c r="B61" s="1" t="str">
        <x:v>2026-5-1</x:v>
      </x:c>
      <x:c r="C61" s="1"/>
      <x:c r="D61" s="1" t="str">
        <x:v>47</x:v>
      </x:c>
      <x:c r="E61" s="1"/>
      <x:c r="F61" s="1" t="n">
        <x:v>0.418</x:v>
      </x:c>
      <x:c r="G61" s="1" t="n">
        <x:v>1923</x:v>
      </x:c>
      <x:c r="H61" s="1"/>
      <x:c r="I61" s="1"/>
      <x:c r="J61" s="1" t="n">
        <x:v>349</x:v>
      </x:c>
      <x:c r="K61" s="1"/>
      <x:c r="L61" s="1" t="n">
        <x:v>0.482</x:v>
      </x:c>
      <x:c r="M61" s="1" t="n">
        <x:v>2.05</x:v>
      </x:c>
      <x:c r="N61" s="1"/>
      <x:c r="O61" s="1"/>
      <x:c r="P61" s="1" t="str">
        <x:v>-99</x:v>
      </x:c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</x:row>
    <x:row r="62">
      <x:c r="A62" s="1" t="n">
        <x:v>47</x:v>
      </x:c>
      <x:c r="B62" s="1" t="str">
        <x:v>26171</x:v>
      </x:c>
      <x:c r="C62" s="1"/>
      <x:c r="D62" s="1" t="str">
        <x:v>47</x:v>
      </x:c>
      <x:c r="E62" s="1"/>
      <x:c r="F62" s="1"/>
      <x:c r="G62" s="1"/>
      <x:c r="H62" s="1"/>
      <x:c r="I62" s="1" t="str">
        <x:v>-99.0</x:v>
      </x:c>
      <x:c r="J62" s="1" t="n">
        <x:v>1010</x:v>
      </x:c>
      <x:c r="K62" s="1"/>
      <x:c r="L62" s="1" t="n">
        <x:v>0.802</x:v>
      </x:c>
      <x:c r="M62" s="1" t="n">
        <x:v>2.57</x:v>
      </x:c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</x:row>
    <x:row r="63">
      <x:c r="A63" s="1" t="n">
        <x:v>47</x:v>
      </x:c>
      <x:c r="B63" s="3" t="d">
        <x:v>2026-07-15T00:00:00.000Z</x:v>
      </x:c>
      <x:c r="C63" s="1"/>
      <x:c r="D63" s="1" t="str">
        <x:v>47</x:v>
      </x:c>
      <x:c r="E63" s="1"/>
      <x:c r="F63" s="1" t="n">
        <x:v>0.895</x:v>
      </x:c>
      <x:c r="G63" s="1" t="n">
        <x:v>7781</x:v>
      </x:c>
      <x:c r="H63" s="1"/>
      <x:c r="I63" s="1" t="str">
        <x:v>-99</x:v>
      </x:c>
      <x:c r="J63" s="1" t="n">
        <x:v>1405</x:v>
      </x:c>
      <x:c r="K63" s="1"/>
      <x:c r="L63" s="1" t="n">
        <x:v>0.962</x:v>
      </x:c>
      <x:c r="M63" s="1" t="n">
        <x:v>1.3</x:v>
      </x:c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</x:row>
    <x:row r="64">
      <x:c r="A64" s="1"/>
      <x:c r="B64" s="1" t="n">
        <x:v>17</x:v>
      </x:c>
      <x:c r="C64" s="1" t="str">
        <x:v> 2023-03-28</x:v>
      </x:c>
      <x:c r="D64" s="1"/>
      <x:c r="E64" s="1" t="str">
        <x:v>17</x:v>
      </x:c>
      <x:c r="F64" s="1"/>
      <x:c r="G64" s="1" t="n">
        <x:v>0.21</x:v>
      </x:c>
      <x:c r="H64" s="1" t="n">
        <x:v>773</x:v>
      </x:c>
      <x:c r="I64" s="1"/>
      <x:c r="J64" s="1"/>
      <x:c r="K64" s="1"/>
      <x:c r="L64" s="1"/>
      <x:c r="M64" s="1" t="n">
        <x:v>0.26</x:v>
      </x:c>
      <x:c r="N64" s="1" t="n">
        <x:v>1.12</x:v>
      </x:c>
      <x:c r="O64" s="1" t="str">
        <x:v>-99</x:v>
      </x:c>
      <x:c r="P64" s="1" t="n">
        <x:v>212.08</x:v>
      </x:c>
      <x:c r="Q64" s="1" t="n">
        <x:v>3.6</x:v>
      </x:c>
      <x:c r="R64" s="1" t="n">
        <x:v>11.59</x:v>
      </x:c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</x:row>
    <x:row r="65">
      <x:c r="A65" s="1"/>
      <x:c r="B65" s="1" t="n">
        <x:v>17</x:v>
      </x:c>
      <x:c r="C65" s="1" t="str">
        <x:v>2023-4-21</x:v>
      </x:c>
      <x:c r="D65" s="1"/>
      <x:c r="E65" s="1" t="str">
        <x:v>17</x:v>
      </x:c>
      <x:c r="F65" s="1"/>
      <x:c r="G65" s="1" t="str">
        <x:v>-99</x:v>
      </x:c>
      <x:c r="H65" s="1"/>
      <x:c r="I65" s="1"/>
      <x:c r="J65" s="1"/>
      <x:c r="K65" s="1"/>
      <x:c r="L65" s="1" t="str">
        <x:v>-99.0</x:v>
      </x:c>
      <x:c r="M65" s="1"/>
      <x:c r="N65" s="1" t="n">
        <x:v>2.62</x:v>
      </x:c>
      <x:c r="O65" s="1"/>
      <x:c r="P65" s="1" t="n">
        <x:v>210.32</x:v>
      </x:c>
      <x:c r="Q65" s="1" t="n">
        <x:v>3.34</x:v>
      </x:c>
      <x:c r="R65" s="1" t="n">
        <x:v>37.95</x:v>
      </x:c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</x:row>
    <x:row r="66">
      <x:c r="A66" s="1" t="n">
        <x:v>17</x:v>
      </x:c>
      <x:c r="B66" s="1" t="str">
        <x:v>23135</x:v>
      </x:c>
      <x:c r="C66" s="1"/>
      <x:c r="D66" s="1" t="str">
        <x:v>17</x:v>
      </x:c>
      <x:c r="E66" s="1"/>
      <x:c r="F66" s="1" t="n">
        <x:v>0.77</x:v>
      </x:c>
      <x:c r="G66" s="1" t="n">
        <x:v>4763</x:v>
      </x:c>
      <x:c r="H66" s="1"/>
      <x:c r="I66" s="1"/>
      <x:c r="J66" s="1"/>
      <x:c r="K66" s="1"/>
      <x:c r="L66" s="1"/>
      <x:c r="M66" s="1" t="n">
        <x:v>4.12</x:v>
      </x:c>
      <x:c r="N66" s="1"/>
      <x:c r="O66" s="1" t="n">
        <x:v>208.56</x:v>
      </x:c>
      <x:c r="P66" s="1"/>
      <x:c r="Q66" s="1" t="n">
        <x:v>3.08</x:v>
      </x:c>
      <x:c r="R66" s="1" t="n">
        <x:v>71.44</x:v>
      </x:c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</x:row>
    <x:row r="67">
      <x:c r="A67" s="1" t="n">
        <x:v>17</x:v>
      </x:c>
      <x:c r="B67" s="3" t="d">
        <x:v>2023-06-08T00:00:00.000Z</x:v>
      </x:c>
      <x:c r="C67" s="1"/>
      <x:c r="D67" s="1" t="str">
        <x:v>17</x:v>
      </x:c>
      <x:c r="E67" s="1"/>
      <x:c r="F67" s="1"/>
      <x:c r="G67" s="1" t="n">
        <x:v>7353</x:v>
      </x:c>
      <x:c r="H67" s="1"/>
      <x:c r="I67" s="1"/>
      <x:c r="J67" s="1"/>
      <x:c r="K67" s="1"/>
      <x:c r="L67" s="1"/>
      <x:c r="M67" s="1" t="n">
        <x:v>3.29</x:v>
      </x:c>
      <x:c r="N67" s="1"/>
      <x:c r="O67" s="1" t="n">
        <x:v>206.8</x:v>
      </x:c>
      <x:c r="P67" s="1"/>
      <x:c r="Q67" s="1" t="n">
        <x:v>2.82</x:v>
      </x:c>
      <x:c r="R67" s="1" t="n">
        <x:v>110.3</x:v>
      </x:c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</x:row>
    <x:row r="68">
      <x:c r="A68" s="1" t="n">
        <x:v>17</x:v>
      </x:c>
      <x:c r="B68" s="1" t="str">
        <x:v> 2023-07-02</x:v>
      </x:c>
      <x:c r="C68" s="1"/>
      <x:c r="D68" s="1" t="str">
        <x:v>17</x:v>
      </x:c>
      <x:c r="E68" s="1"/>
      <x:c r="F68" s="1" t="n">
        <x:v>1.05</x:v>
      </x:c>
      <x:c r="G68" s="1"/>
      <x:c r="H68" s="1"/>
      <x:c r="I68" s="1"/>
      <x:c r="J68" s="1"/>
      <x:c r="K68" s="1"/>
      <x:c r="L68" s="1"/>
      <x:c r="M68" s="1" t="n">
        <x:v>1.67</x:v>
      </x:c>
      <x:c r="N68" s="1" t="str">
        <x:v>-99.0</x:v>
      </x:c>
      <x:c r="O68" s="1" t="n">
        <x:v>205.04</x:v>
      </x:c>
      <x:c r="P68" s="1" t="n">
        <x:v>2.56</x:v>
      </x:c>
      <x:c r="Q68" s="1" t="n">
        <x:v>153.57</x:v>
      </x:c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</x:row>
    <x:row r="69">
      <x:c r="A69" s="1" t="n">
        <x:v>29</x:v>
      </x:c>
      <x:c r="B69" s="1" t="str">
        <x:v>2024-5-10</x:v>
      </x:c>
      <x:c r="C69" s="1"/>
      <x:c r="D69" s="1" t="str">
        <x:v>29</x:v>
      </x:c>
      <x:c r="E69" s="1"/>
      <x:c r="F69" s="1"/>
      <x:c r="G69" s="1" t="str">
        <x:v>-99</x:v>
      </x:c>
      <x:c r="H69" s="1"/>
      <x:c r="I69" s="1" t="n">
        <x:v>196</x:v>
      </x:c>
      <x:c r="J69" s="1"/>
      <x:c r="K69" s="1" t="n">
        <x:v>393</x:v>
      </x:c>
      <x:c r="L69" s="1" t="str">
        <x:v>-99</x:v>
      </x:c>
      <x:c r="M69" s="1" t="n">
        <x:v>1.38</x:v>
      </x:c>
      <x:c r="N69" s="1" t="n">
        <x:v>4.3</x:v>
      </x:c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</x:row>
    <x:row r="70">
      <x:c r="A70" s="1" t="n">
        <x:v>29</x:v>
      </x:c>
      <x:c r="B70" s="1" t="str">
        <x:v>24183</x:v>
      </x:c>
      <x:c r="C70" s="1"/>
      <x:c r="D70" s="1" t="str">
        <x:v>29</x:v>
      </x:c>
      <x:c r="E70" s="1"/>
      <x:c r="F70" s="1" t="n">
        <x:v>1.76</x:v>
      </x:c>
      <x:c r="G70" s="1" t="n">
        <x:v>7794</x:v>
      </x:c>
      <x:c r="H70" s="1"/>
      <x:c r="I70" s="1" t="n">
        <x:v>1181</x:v>
      </x:c>
      <x:c r="J70" s="1"/>
      <x:c r="K70" s="1" t="n">
        <x:v>2361</x:v>
      </x:c>
      <x:c r="L70" s="1"/>
      <x:c r="M70" s="1" t="n">
        <x:v>5.04</x:v>
      </x:c>
      <x:c r="N70" s="1" t="n">
        <x:v>15.3</x:v>
      </x:c>
      <x:c r="O70" s="1" t="str">
        <x:v>-99.0</x:v>
      </x:c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</x:row>
    <x:row r="71">
      <x:c r="A71" s="1" t="n">
        <x:v>29</x:v>
      </x:c>
      <x:c r="B71" s="3" t="d">
        <x:v>2024-08-22T00:00:00.000Z</x:v>
      </x:c>
      <x:c r="C71" s="1"/>
      <x:c r="D71" s="1" t="str">
        <x:v>29</x:v>
      </x:c>
      <x:c r="E71" s="1" t="str">
        <x:v>-99</x:v>
      </x:c>
      <x:c r="F71" s="1" t="str">
        <x:v>-99.0</x:v>
      </x:c>
      <x:c r="G71" s="1" t="n">
        <x:v>16753</x:v>
      </x:c>
      <x:c r="H71" s="1" t="n">
        <x:v>8640</x:v>
      </x:c>
      <x:c r="I71" s="1" t="n">
        <x:v>2527</x:v>
      </x:c>
      <x:c r="J71" s="1"/>
      <x:c r="K71" s="1" t="n">
        <x:v>5054</x:v>
      </x:c>
      <x:c r="L71" s="1"/>
      <x:c r="M71" s="1" t="n">
        <x:v>2.04</x:v>
      </x:c>
      <x:c r="N71" s="1" t="n">
        <x:v>18</x:v>
      </x:c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</x:row>
    <x:row r="72">
      <x:c r="A72" s="1" t="n">
        <x:v>41</x:v>
      </x:c>
      <x:c r="B72" s="1" t="str">
        <x:v> 2025-05-28</x:v>
      </x:c>
      <x:c r="C72" s="1"/>
      <x:c r="D72" s="1" t="str">
        <x:v>41</x:v>
      </x:c>
      <x:c r="E72" s="1" t="n">
        <x:v>0.166</x:v>
      </x:c>
      <x:c r="F72" s="1" t="n">
        <x:v>0.19</x:v>
      </x:c>
      <x:c r="G72" s="1" t="n">
        <x:v>562</x:v>
      </x:c>
      <x:c r="H72" s="1"/>
      <x:c r="I72" s="1" t="str">
        <x:v>-99.0</x:v>
      </x:c>
      <x:c r="J72" s="1" t="n">
        <x:v>97</x:v>
      </x:c>
      <x:c r="K72" s="1"/>
      <x:c r="L72" s="1" t="n">
        <x:v>0.316</x:v>
      </x:c>
      <x:c r="M72" s="1" t="n">
        <x:v>1.05</x:v>
      </x:c>
      <x:c r="N72" s="1"/>
      <x:c r="O72" s="1"/>
      <x:c r="P72" s="1" t="str">
        <x:v>-99</x:v>
      </x:c>
      <x:c r="Q72" s="1" t="str">
        <x:v>-99</x:v>
      </x:c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</x:row>
    <x:row r="73">
      <x:c r="A73" s="1" t="n">
        <x:v>41</x:v>
      </x:c>
      <x:c r="B73" s="1" t="str">
        <x:v>2025-6-19</x:v>
      </x:c>
      <x:c r="C73" s="1"/>
      <x:c r="D73" s="1" t="str">
        <x:v>41</x:v>
      </x:c>
      <x:c r="E73" s="1" t="n">
        <x:v>0.394</x:v>
      </x:c>
      <x:c r="F73" s="1"/>
      <x:c r="G73" s="1" t="n">
        <x:v>1840</x:v>
      </x:c>
      <x:c r="H73" s="1"/>
      <x:c r="I73" s="1"/>
      <x:c r="J73" s="1" t="n">
        <x:v>325</x:v>
      </x:c>
      <x:c r="K73" s="1"/>
      <x:c r="L73" s="1" t="n">
        <x:v>0.476</x:v>
      </x:c>
      <x:c r="M73" s="1" t="n">
        <x:v>2.45</x:v>
      </x:c>
      <x:c r="N73" s="1" t="str">
        <x:v>-99</x:v>
      </x:c>
      <x:c r="O73" s="1"/>
      <x:c r="P73" s="1" t="str">
        <x:v>-99</x:v>
      </x:c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</x:row>
    <x:row r="74">
      <x:c r="A74" s="1" t="n">
        <x:v>41</x:v>
      </x:c>
      <x:c r="B74" s="1" t="str">
        <x:v>25214</x:v>
      </x:c>
      <x:c r="C74" s="1"/>
      <x:c r="D74" s="1" t="str">
        <x:v>41</x:v>
      </x:c>
      <x:c r="E74" s="1" t="n">
        <x:v>0.85</x:v>
      </x:c>
      <x:c r="F74" s="1" t="n">
        <x:v>0.95</x:v>
      </x:c>
      <x:c r="G74" s="1"/>
      <x:c r="H74" s="1"/>
      <x:c r="I74" s="1"/>
      <x:c r="J74" s="1" t="n">
        <x:v>954</x:v>
      </x:c>
      <x:c r="K74" s="1" t="str">
        <x:v>-99</x:v>
      </x:c>
      <x:c r="L74" s="1" t="n">
        <x:v>0.796</x:v>
      </x:c>
      <x:c r="M74" s="1" t="n">
        <x:v>3.07</x:v>
      </x:c>
      <x:c r="N74" s="1" t="str">
        <x:v>-99.0</x:v>
      </x:c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</x:row>
    <x:row r="75">
      <x:c r="A75" s="1" t="n">
        <x:v>41</x:v>
      </x:c>
      <x:c r="B75" s="3" t="d">
        <x:v>2025-08-24T00:00:00.000Z</x:v>
      </x:c>
      <x:c r="C75" s="1"/>
      <x:c r="D75" s="1" t="str">
        <x:v>41</x:v>
      </x:c>
      <x:c r="E75" s="1" t="n">
        <x:v>0.855</x:v>
      </x:c>
      <x:c r="F75" s="1" t="str">
        <x:v>-99</x:v>
      </x:c>
      <x:c r="G75" s="1" t="n">
        <x:v>7446</x:v>
      </x:c>
      <x:c r="H75" s="1" t="str">
        <x:v>-99</x:v>
      </x:c>
      <x:c r="I75" s="1" t="str">
        <x:v>-99.0</x:v>
      </x:c>
      <x:c r="J75" s="1" t="n">
        <x:v>1331</x:v>
      </x:c>
      <x:c r="K75" s="1"/>
      <x:c r="L75" s="1" t="n">
        <x:v>0.956</x:v>
      </x:c>
      <x:c r="M75" s="1" t="n">
        <x:v>1.55</x:v>
      </x:c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</x:row>
    <x:row r="76">
      <x:c r="A76" s="1" t="n">
        <x:v>53</x:v>
      </x:c>
      <x:c r="B76" s="1" t="str">
        <x:v> 2026-04-06</x:v>
      </x:c>
      <x:c r="C76" s="1"/>
      <x:c r="D76" s="1" t="str">
        <x:v>53</x:v>
      </x:c>
      <x:c r="E76" s="1"/>
      <x:c r="F76" s="1"/>
      <x:c r="G76" s="1" t="n">
        <x:v>667</x:v>
      </x:c>
      <x:c r="H76" s="1"/>
      <x:c r="I76" s="1"/>
      <x:c r="J76" s="1"/>
      <x:c r="K76" s="1"/>
      <x:c r="L76" s="1"/>
      <x:c r="M76" s="1" t="n">
        <x:v>1</x:v>
      </x:c>
      <x:c r="N76" s="1"/>
      <x:c r="O76" s="1"/>
      <x:c r="P76" s="1" t="n">
        <x:v>3.6</x:v>
      </x:c>
      <x:c r="Q76" s="1" t="n">
        <x:v>10.2</x:v>
      </x:c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</x:row>
    <x:row r="77">
      <x:c r="A77" s="1" t="n">
        <x:v>53</x:v>
      </x:c>
      <x:c r="B77" s="1" t="str">
        <x:v>2026-5-1</x:v>
      </x:c>
      <x:c r="C77" s="1"/>
      <x:c r="D77" s="1" t="str">
        <x:v>53</x:v>
      </x:c>
      <x:c r="E77" s="1"/>
      <x:c r="F77" s="1" t="n">
        <x:v>0.42</x:v>
      </x:c>
      <x:c r="G77" s="1" t="str">
        <x:v>-99</x:v>
      </x:c>
      <x:c r="H77" s="1"/>
      <x:c r="I77" s="1" t="str">
        <x:v>-99</x:v>
      </x:c>
      <x:c r="J77" s="1"/>
      <x:c r="K77" s="1"/>
      <x:c r="L77" s="1"/>
      <x:c r="M77" s="1" t="n">
        <x:v>2.33</x:v>
      </x:c>
      <x:c r="N77" s="1"/>
      <x:c r="O77" s="1"/>
      <x:c r="P77" s="1" t="n">
        <x:v>3.34</x:v>
      </x:c>
      <x:c r="Q77" s="1" t="n">
        <x:v>33.03</x:v>
      </x:c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</x:row>
    <x:row r="78">
      <x:c r="A78" s="1" t="n">
        <x:v>53</x:v>
      </x:c>
      <x:c r="B78" s="1" t="str">
        <x:v>26146</x:v>
      </x:c>
      <x:c r="C78" s="1"/>
      <x:c r="D78" s="1" t="str">
        <x:v>53</x:v>
      </x:c>
      <x:c r="E78" s="1"/>
      <x:c r="F78" s="1"/>
      <x:c r="G78" s="1" t="n">
        <x:v>4114</x:v>
      </x:c>
      <x:c r="H78" s="1"/>
      <x:c r="I78" s="1"/>
      <x:c r="J78" s="1"/>
      <x:c r="K78" s="1"/>
      <x:c r="L78" s="1" t="str">
        <x:v>-99</x:v>
      </x:c>
      <x:c r="M78" s="1" t="n">
        <x:v>3.67</x:v>
      </x:c>
      <x:c r="N78" s="1"/>
      <x:c r="O78" s="1"/>
      <x:c r="P78" s="1" t="n">
        <x:v>3.08</x:v>
      </x:c>
      <x:c r="Q78" s="1" t="n">
        <x:v>62.02</x:v>
      </x:c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</x:row>
    <x:row r="79">
      <x:c r="A79" s="1" t="n">
        <x:v>53</x:v>
      </x:c>
      <x:c r="B79" s="3" t="d">
        <x:v>2026-06-20T00:00:00.000Z</x:v>
      </x:c>
      <x:c r="C79" s="1"/>
      <x:c r="D79" s="1" t="str">
        <x:v>53</x:v>
      </x:c>
      <x:c r="E79" s="1"/>
      <x:c r="F79" s="1" t="n">
        <x:v>0.9</x:v>
      </x:c>
      <x:c r="G79" s="1" t="n">
        <x:v>6351</x:v>
      </x:c>
      <x:c r="H79" s="1"/>
      <x:c r="I79" s="1"/>
      <x:c r="J79" s="1"/>
      <x:c r="K79" s="1" t="str">
        <x:v>-99.0</x:v>
      </x:c>
      <x:c r="L79" s="1" t="str">
        <x:v>-99</x:v>
      </x:c>
      <x:c r="M79" s="1" t="n">
        <x:v>2.92</x:v>
      </x:c>
      <x:c r="N79" s="1"/>
      <x:c r="O79" s="1"/>
      <x:c r="P79" s="1" t="n">
        <x:v>2.82</x:v>
      </x:c>
      <x:c r="Q79" s="1" t="n">
        <x:v>95.61</x:v>
      </x:c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</x:row>
    <x:row r="80">
      <x:c r="A80" s="1" t="n">
        <x:v>53</x:v>
      </x:c>
      <x:c r="B80" s="1" t="str">
        <x:v> 2026-07-15</x:v>
      </x:c>
      <x:c r="C80" s="1"/>
      <x:c r="D80" s="1" t="str">
        <x:v>53</x:v>
      </x:c>
      <x:c r="E80" s="1"/>
      <x:c r="F80" s="1"/>
      <x:c r="G80" s="1" t="str">
        <x:v>-99.0</x:v>
      </x:c>
      <x:c r="H80" s="1"/>
      <x:c r="I80" s="1"/>
      <x:c r="J80" s="1" t="str">
        <x:v>-99.0</x:v>
      </x:c>
      <x:c r="K80" s="1"/>
      <x:c r="L80" s="1"/>
      <x:c r="M80" s="1" t="n">
        <x:v>1.48</x:v>
      </x:c>
      <x:c r="N80" s="1"/>
      <x:c r="O80" s="1"/>
      <x:c r="P80" s="1" t="n">
        <x:v>2.56</x:v>
      </x:c>
      <x:c r="Q80" s="1" t="n">
        <x:v>133.02</x:v>
      </x:c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</x:row>
    <x:row r="82">
      <x:c r="A82" s="1" t="str">
        <x:v>! Section</x:v>
      </x:c>
      <x:c r="B82" s="1" t="str">
        <x:v>Fertilization_events</x:v>
      </x:c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</x:row>
    <x:row r="83">
      <x:c r="A83" s="1" t="str">
        <x:v>! Definitions</x:v>
      </x:c>
      <x:c r="B83" s="1" t="str">
        <x:v>Nitrogen (elemental) in applied fertilizer</x:v>
      </x:c>
      <x:c r="C83" s="1"/>
      <x:c r="D83" s="1" t="str">
        <x:v>Total amount of fertilizer applied</x:v>
      </x:c>
      <x:c r="E83" s="1" t="str">
        <x:v>Identifier of the fertilization treatment associated with the event</x:v>
      </x:c>
      <x:c r="F83" s="1" t="str">
        <x:v>Fertilization date; use YYYY-MM-DD.</x:v>
      </x:c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</x:row>
    <x:row r="84">
      <x:c r="A84" s="1" t="str">
        <x:v>! Units</x:v>
      </x:c>
      <x:c r="B84" s="1" t="str">
        <x:v>kg[N]/ha</x:v>
      </x:c>
      <x:c r="C84" s="1"/>
      <x:c r="D84" s="1" t="str">
        <x:v>kg[fertilizer]/ha</x:v>
      </x:c>
      <x:c r="E84" s="1" t="str">
        <x:v>text</x:v>
      </x:c>
      <x:c r="F84" s="1" t="str">
        <x:v>date</x:v>
      </x:c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</x:row>
    <x:row r="85">
      <x:c r="A85" s="2" t="str">
        <x:v>%</x:v>
      </x:c>
      <x:c r="B85" s="2" t="str">
        <x:v>FEAMN</x:v>
      </x:c>
      <x:c r="C85" s="2"/>
      <x:c r="D85" s="2" t="str">
        <x:v>feam</x:v>
      </x:c>
      <x:c r="E85" s="2" t="str">
        <x:v>FERTT_FE</x:v>
      </x:c>
      <x:c r="F85" s="2" t="str">
        <x:v>FEDATE</x:v>
      </x:c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</x:row>
    <x:row r="86">
      <x:c r="A86" s="1" t="n">
        <x:v>11</x:v>
      </x:c>
      <x:c r="B86" s="1" t="n">
        <x:v>10</x:v>
      </x:c>
      <x:c r="C86" s="1"/>
      <x:c r="D86" s="1" t="n">
        <x:v>50</x:v>
      </x:c>
      <x:c r="E86" s="1" t="str">
        <x:v>S0025</x:v>
      </x:c>
      <x:c r="F86" s="1" t="str">
        <x:v>2023-3-10</x:v>
      </x:c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</x:row>
    <x:row r="87">
      <x:c r="A87" s="1" t="n">
        <x:v>11</x:v>
      </x:c>
      <x:c r="B87" s="1" t="n">
        <x:v>10</x:v>
      </x:c>
      <x:c r="C87" s="1"/>
      <x:c r="D87" s="1" t="n">
        <x:v>50</x:v>
      </x:c>
      <x:c r="E87" s="1" t="str">
        <x:v>S0025</x:v>
      </x:c>
      <x:c r="F87" s="1" t="str">
        <x:v>23099</x:v>
      </x:c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</x:row>
    <x:row r="88">
      <x:c r="A88" s="1" t="n">
        <x:v>17</x:v>
      </x:c>
      <x:c r="B88" s="1" t="n">
        <x:v>30</x:v>
      </x:c>
      <x:c r="C88" s="1"/>
      <x:c r="D88" s="1" t="n">
        <x:v>150</x:v>
      </x:c>
      <x:c r="E88" s="1" t="str">
        <x:v>S0026</x:v>
      </x:c>
      <x:c r="F88" s="3" t="d">
        <x:v>2023-03-10T00:00:00.000Z</x:v>
      </x:c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</x:row>
    <x:row r="89">
      <x:c r="A89" s="1" t="n">
        <x:v>17</x:v>
      </x:c>
      <x:c r="B89" s="1" t="n">
        <x:v>30</x:v>
      </x:c>
      <x:c r="C89" s="1"/>
      <x:c r="D89" s="1" t="n">
        <x:v>150</x:v>
      </x:c>
      <x:c r="E89" s="1" t="str">
        <x:v>S0026</x:v>
      </x:c>
      <x:c r="F89" s="1" t="str">
        <x:v> 2023-04-09</x:v>
      </x:c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</x:row>
    <x:row r="90">
      <x:c r="A90" s="1" t="n">
        <x:v>23</x:v>
      </x:c>
      <x:c r="B90" s="1" t="n">
        <x:v>10</x:v>
      </x:c>
      <x:c r="C90" s="1"/>
      <x:c r="D90" s="1" t="n">
        <x:v>50</x:v>
      </x:c>
      <x:c r="E90" s="1" t="str">
        <x:v>S0028</x:v>
      </x:c>
      <x:c r="F90" s="1" t="str">
        <x:v>2024-4-20</x:v>
      </x:c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</x:row>
    <x:row r="91">
      <x:c r="A91" s="1" t="n">
        <x:v>23</x:v>
      </x:c>
      <x:c r="B91" s="1" t="n">
        <x:v>10</x:v>
      </x:c>
      <x:c r="C91" s="1"/>
      <x:c r="D91" s="1" t="n">
        <x:v>50</x:v>
      </x:c>
      <x:c r="E91" s="1" t="str">
        <x:v>S0028</x:v>
      </x:c>
      <x:c r="F91" s="1" t="str">
        <x:v>24141</x:v>
      </x:c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</x:row>
    <x:row r="92">
      <x:c r="A92" s="1" t="n">
        <x:v>29</x:v>
      </x:c>
      <x:c r="B92" s="1" t="n">
        <x:v>30</x:v>
      </x:c>
      <x:c r="C92" s="1"/>
      <x:c r="D92" s="1" t="n">
        <x:v>150</x:v>
      </x:c>
      <x:c r="E92" s="1" t="str">
        <x:v>S0029</x:v>
      </x:c>
      <x:c r="F92" s="3" t="d">
        <x:v>2024-04-20T00:00:00.000Z</x:v>
      </x:c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</x:row>
    <x:row r="93">
      <x:c r="A93" s="1" t="n">
        <x:v>29</x:v>
      </x:c>
      <x:c r="B93" s="1" t="n">
        <x:v>30</x:v>
      </x:c>
      <x:c r="C93" s="1"/>
      <x:c r="D93" s="1" t="n">
        <x:v>150</x:v>
      </x:c>
      <x:c r="E93" s="1" t="str">
        <x:v>S0029</x:v>
      </x:c>
      <x:c r="F93" s="1" t="str">
        <x:v> 2024-05-20</x:v>
      </x:c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</x:row>
    <x:row r="94">
      <x:c r="A94" s="1" t="n">
        <x:v>35</x:v>
      </x:c>
      <x:c r="B94" s="1" t="n">
        <x:v>10</x:v>
      </x:c>
      <x:c r="C94" s="1"/>
      <x:c r="D94" s="1" t="n">
        <x:v>50</x:v>
      </x:c>
      <x:c r="E94" s="1" t="str">
        <x:v>S0031</x:v>
      </x:c>
      <x:c r="F94" s="1" t="str">
        <x:v>2025-5-12</x:v>
      </x:c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</x:row>
    <x:row r="95">
      <x:c r="A95" s="1" t="n">
        <x:v>35</x:v>
      </x:c>
      <x:c r="B95" s="1" t="n">
        <x:v>10</x:v>
      </x:c>
      <x:c r="C95" s="1"/>
      <x:c r="D95" s="1" t="n">
        <x:v>50</x:v>
      </x:c>
      <x:c r="E95" s="1" t="str">
        <x:v>S0031</x:v>
      </x:c>
      <x:c r="F95" s="1" t="str">
        <x:v>25162</x:v>
      </x:c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</x:row>
    <x:row r="96">
      <x:c r="A96" s="1" t="n">
        <x:v>41</x:v>
      </x:c>
      <x:c r="B96" s="1" t="n">
        <x:v>30</x:v>
      </x:c>
      <x:c r="C96" s="1"/>
      <x:c r="D96" s="1" t="n">
        <x:v>150</x:v>
      </x:c>
      <x:c r="E96" s="1" t="str">
        <x:v>S0032</x:v>
      </x:c>
      <x:c r="F96" s="3" t="d">
        <x:v>2025-05-12T00:00:00.000Z</x:v>
      </x:c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</x:row>
    <x:row r="97">
      <x:c r="A97" s="1" t="n">
        <x:v>41</x:v>
      </x:c>
      <x:c r="B97" s="1" t="n">
        <x:v>30</x:v>
      </x:c>
      <x:c r="C97" s="1"/>
      <x:c r="D97" s="1" t="n">
        <x:v>150</x:v>
      </x:c>
      <x:c r="E97" s="1" t="str">
        <x:v>S0032</x:v>
      </x:c>
      <x:c r="F97" s="1" t="str">
        <x:v> 2025-06-11</x:v>
      </x:c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</x:row>
    <x:row r="98">
      <x:c r="A98" s="1" t="n">
        <x:v>47</x:v>
      </x:c>
      <x:c r="B98" s="1" t="n">
        <x:v>10</x:v>
      </x:c>
      <x:c r="C98" s="1"/>
      <x:c r="D98" s="1" t="n">
        <x:v>50</x:v>
      </x:c>
      <x:c r="E98" s="1" t="str">
        <x:v>S0034</x:v>
      </x:c>
      <x:c r="F98" s="1" t="str">
        <x:v>2026-3-18</x:v>
      </x:c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</x:row>
    <x:row r="99">
      <x:c r="A99" s="1" t="n">
        <x:v>47</x:v>
      </x:c>
      <x:c r="B99" s="1" t="n">
        <x:v>10</x:v>
      </x:c>
      <x:c r="C99" s="1"/>
      <x:c r="D99" s="1" t="n">
        <x:v>50</x:v>
      </x:c>
      <x:c r="E99" s="1" t="str">
        <x:v>S0034</x:v>
      </x:c>
      <x:c r="F99" s="1" t="str">
        <x:v>26107</x:v>
      </x:c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</x:row>
    <x:row r="100">
      <x:c r="A100" s="1" t="n">
        <x:v>53</x:v>
      </x:c>
      <x:c r="B100" s="1" t="n">
        <x:v>30</x:v>
      </x:c>
      <x:c r="C100" s="1"/>
      <x:c r="D100" s="1" t="n">
        <x:v>150</x:v>
      </x:c>
      <x:c r="E100" s="1" t="str">
        <x:v>S0035</x:v>
      </x:c>
      <x:c r="F100" s="3" t="d">
        <x:v>2026-03-18T00:00:00.000Z</x:v>
      </x:c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</x:row>
    <x:row r="101">
      <x:c r="A101" s="1" t="n">
        <x:v>53</x:v>
      </x:c>
      <x:c r="B101" s="1" t="n">
        <x:v>30</x:v>
      </x:c>
      <x:c r="C101" s="1"/>
      <x:c r="D101" s="1" t="n">
        <x:v>150</x:v>
      </x:c>
      <x:c r="E101" s="1" t="str">
        <x:v>S0035</x:v>
      </x:c>
      <x:c r="F101" s="1" t="str">
        <x:v> 2026-04-17</x:v>
      </x:c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</x:row>
    <x:row r="103">
      <x:c r="A103" s="1" t="str">
        <x:v>! Section</x:v>
      </x:c>
      <x:c r="B103" s="1" t="str">
        <x:v>Fertilization_treatments</x:v>
      </x:c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</x:row>
    <x:row r="104">
      <x:c r="A104" s="1" t="str">
        <x:v>! Definitions</x:v>
      </x:c>
      <x:c r="B104" s="1" t="str">
        <x:v>Unique identifier for a fertilization treatment</x:v>
      </x:c>
      <x:c r="C104" s="1"/>
      <x:c r="D104" s="1" t="str">
        <x:v>Indicates whether or not fertilizer was applied (Y or N)</x:v>
      </x:c>
      <x:c r="E104" s="1" t="str">
        <x:v>Fertilizer, total amount over season</x:v>
      </x:c>
      <x:c r="F104" s="1" t="str">
        <x:v>Nitrogen, total amount over season, as elemental N</x:v>
      </x:c>
      <x:c r="G104" s="1" t="str">
        <x:v>Total number of fertilizer applications over season</x:v>
      </x:c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</x:row>
    <x:row r="105">
      <x:c r="A105" s="1" t="str">
        <x:v>! Units</x:v>
      </x:c>
      <x:c r="B105" s="1" t="str">
        <x:v>text</x:v>
      </x:c>
      <x:c r="C105" s="1"/>
      <x:c r="D105" s="1" t="str">
        <x:v>code</x:v>
      </x:c>
      <x:c r="E105" s="1" t="str">
        <x:v>kg[fertilizer]/ha</x:v>
      </x:c>
      <x:c r="F105" s="1" t="str">
        <x:v>kg[N]/ha</x:v>
      </x:c>
      <x:c r="G105" s="1" t="str">
        <x:v>number</x:v>
      </x:c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</x:row>
    <x:row r="106">
      <x:c r="A106" s="2" t="str">
        <x:v>#</x:v>
      </x:c>
      <x:c r="B106" s="2" t="str">
        <x:v>FERTTRTI</x:v>
      </x:c>
      <x:c r="C106" s="2"/>
      <x:c r="D106" s="2" t="str">
        <x:v>FERTILIZER</x:v>
      </x:c>
      <x:c r="E106" s="2" t="str">
        <x:v>fe_tot</x:v>
      </x:c>
      <x:c r="F106" s="2" t="str">
        <x:v>FEN_TOT</x:v>
      </x:c>
      <x:c r="G106" s="2" t="str">
        <x:v> FE_# </x:v>
      </x:c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</x:row>
    <x:row r="107">
      <x:c r="A107" s="1" t="n">
        <x:v>11</x:v>
      </x:c>
      <x:c r="B107" s="1" t="str">
        <x:v>S0025</x:v>
      </x:c>
      <x:c r="C107" s="1"/>
      <x:c r="D107" s="1" t="str">
        <x:v>Yes</x:v>
      </x:c>
      <x:c r="E107" s="1" t="str">
        <x:v>-99</x:v>
      </x:c>
      <x:c r="F107" s="1" t="n">
        <x:v>20</x:v>
      </x:c>
      <x:c r="G107" s="1" t="str">
        <x:v>-99.0</x:v>
      </x:c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</x:row>
    <x:row r="108">
      <x:c r="A108" s="1" t="n">
        <x:v>17</x:v>
      </x:c>
      <x:c r="B108" s="1" t="str">
        <x:v>S0026</x:v>
      </x:c>
      <x:c r="C108" s="1"/>
      <x:c r="D108" s="1" t="str">
        <x:v>Yes</x:v>
      </x:c>
      <x:c r="E108" s="1" t="n">
        <x:v>300</x:v>
      </x:c>
      <x:c r="F108" s="1" t="n">
        <x:v>60</x:v>
      </x:c>
      <x:c r="G108" s="1" t="n">
        <x:v>2</x:v>
      </x:c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</x:row>
    <x:row r="109">
      <x:c r="A109" s="1" t="n">
        <x:v>23</x:v>
      </x:c>
      <x:c r="B109" s="1" t="str">
        <x:v>S0028</x:v>
      </x:c>
      <x:c r="C109" s="1"/>
      <x:c r="D109" s="1" t="str">
        <x:v>Yes</x:v>
      </x:c>
      <x:c r="E109" s="1"/>
      <x:c r="F109" s="1" t="n">
        <x:v>20</x:v>
      </x:c>
      <x:c r="G109" s="1" t="str">
        <x:v>-99</x:v>
      </x:c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</x:row>
    <x:row r="110">
      <x:c r="A110" s="1" t="n">
        <x:v>29</x:v>
      </x:c>
      <x:c r="B110" s="1" t="str">
        <x:v>S0029</x:v>
      </x:c>
      <x:c r="C110" s="1"/>
      <x:c r="D110" s="1" t="str">
        <x:v>Yes</x:v>
      </x:c>
      <x:c r="E110" s="1" t="n">
        <x:v>300</x:v>
      </x:c>
      <x:c r="F110" s="1" t="n">
        <x:v>60</x:v>
      </x:c>
      <x:c r="G110" s="1" t="n">
        <x:v>2</x:v>
      </x:c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</x:row>
    <x:row r="111">
      <x:c r="A111" s="1" t="n">
        <x:v>35</x:v>
      </x:c>
      <x:c r="B111" s="1" t="str">
        <x:v>S0031</x:v>
      </x:c>
      <x:c r="C111" s="1"/>
      <x:c r="D111" s="1" t="str">
        <x:v>Yes</x:v>
      </x:c>
      <x:c r="E111" s="1"/>
      <x:c r="F111" s="1" t="n">
        <x:v>20</x:v>
      </x:c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</x:row>
    <x:row r="112">
      <x:c r="A112" s="1" t="n">
        <x:v>41</x:v>
      </x:c>
      <x:c r="B112" s="1" t="str">
        <x:v>S0032</x:v>
      </x:c>
      <x:c r="C112" s="1"/>
      <x:c r="D112" s="1" t="str">
        <x:v>Yes</x:v>
      </x:c>
      <x:c r="E112" s="1" t="n">
        <x:v>300</x:v>
      </x:c>
      <x:c r="F112" s="1" t="n">
        <x:v>60</x:v>
      </x:c>
      <x:c r="G112" s="1" t="n">
        <x:v>2</x:v>
      </x:c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</x:row>
    <x:row r="113">
      <x:c r="A113" s="1" t="n">
        <x:v>47</x:v>
      </x:c>
      <x:c r="B113" s="1" t="str">
        <x:v>S0034</x:v>
      </x:c>
      <x:c r="C113" s="1"/>
      <x:c r="D113" s="1" t="str">
        <x:v>Yes</x:v>
      </x:c>
      <x:c r="E113" s="1"/>
      <x:c r="F113" s="1" t="n">
        <x:v>20</x:v>
      </x:c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</x:row>
    <x:row r="114">
      <x:c r="A114" s="1" t="n">
        <x:v>53</x:v>
      </x:c>
      <x:c r="B114" s="1" t="str">
        <x:v>S0035</x:v>
      </x:c>
      <x:c r="C114" s="1"/>
      <x:c r="D114" s="1" t="str">
        <x:v>Yes</x:v>
      </x:c>
      <x:c r="E114" s="1" t="n">
        <x:v>300</x:v>
      </x:c>
      <x:c r="F114" s="1" t="n">
        <x:v>60</x:v>
      </x:c>
      <x:c r="G114" s="1" t="n">
        <x:v>2</x:v>
      </x:c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</x:row>
    <x:row r="116">
      <x:c r="A116" s="1" t="str">
        <x:v>! Section</x:v>
      </x:c>
      <x:c r="B116" s="1" t="str">
        <x:v>Harvest_event_treatments</x:v>
      </x:c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</x:row>
    <x:row r="117">
      <x:c r="A117" s="1" t="str">
        <x:v>! Definitions</x:v>
      </x:c>
      <x:c r="B117" s="1" t="str">
        <x:v>Unique identifier for a harvest treatment</x:v>
      </x:c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</x:row>
    <x:row r="118">
      <x:c r="A118" s="1" t="str">
        <x:v>! Units</x:v>
      </x:c>
      <x:c r="B118" s="1" t="str">
        <x:v>text</x:v>
      </x:c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</x:row>
    <x:row r="119">
      <x:c r="A119" s="2" t="str">
        <x:v>#</x:v>
      </x:c>
      <x:c r="B119" s="2" t="str">
        <x:v>HARVTRTI</x:v>
      </x:c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</x:row>
    <x:row r="120">
      <x:c r="A120" s="1" t="n">
        <x:v>11</x:v>
      </x:c>
      <x:c r="B120" s="1" t="str">
        <x:v>S0055</x:v>
      </x:c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</x:row>
    <x:row r="121">
      <x:c r="A121" s="1" t="n">
        <x:v>17</x:v>
      </x:c>
      <x:c r="B121" s="1" t="str">
        <x:v>S0055</x:v>
      </x:c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</x:row>
    <x:row r="122">
      <x:c r="A122" s="1" t="n">
        <x:v>23</x:v>
      </x:c>
      <x:c r="B122" s="1" t="str">
        <x:v>S0056</x:v>
      </x:c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</x:row>
    <x:row r="123">
      <x:c r="A123" s="1" t="n">
        <x:v>29</x:v>
      </x:c>
      <x:c r="B123" s="1" t="str">
        <x:v>S0056</x:v>
      </x:c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</x:row>
    <x:row r="124">
      <x:c r="A124" s="1" t="n">
        <x:v>35</x:v>
      </x:c>
      <x:c r="B124" s="1" t="str">
        <x:v>S0057</x:v>
      </x:c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</x:row>
    <x:row r="125">
      <x:c r="A125" s="1" t="n">
        <x:v>41</x:v>
      </x:c>
      <x:c r="B125" s="1" t="str">
        <x:v>S0057</x:v>
      </x:c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</x:row>
    <x:row r="126">
      <x:c r="A126" s="1" t="n">
        <x:v>47</x:v>
      </x:c>
      <x:c r="B126" s="1" t="str">
        <x:v>S0058</x:v>
      </x:c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</x:row>
    <x:row r="127">
      <x:c r="A127" s="1" t="n">
        <x:v>53</x:v>
      </x:c>
      <x:c r="B127" s="1" t="str">
        <x:v>S0058</x:v>
      </x:c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</x:row>
    <x:row r="129">
      <x:c r="A129" s="1" t="str">
        <x:v>! Section</x:v>
      </x:c>
      <x:c r="B129" s="1" t="str">
        <x:v>Harvest_events</x:v>
      </x:c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</x:row>
    <x:row r="130">
      <x:c r="A130" s="1" t="str">
        <x:v>! Definitions</x:v>
      </x:c>
      <x:c r="B130" s="1" t="str">
        <x:v>Harvest operations date; use YYYY-MM-DD.</x:v>
      </x:c>
      <x:c r="C130" s="1"/>
      <x:c r="D130" s="1" t="str">
        <x:v>Identifier of the harvest treatment associated with the event</x:v>
      </x:c>
      <x:c r="E130" s="1" t="str">
        <x:v>Harvest operations, crop component harvested</x:v>
      </x:c>
      <x:c r="F130" s="1" t="str">
        <x:v>Harvest method</x:v>
      </x:c>
      <x:c r="G130" s="1" t="str">
        <x:v>Harvest, height of cut</x:v>
      </x:c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</x:row>
    <x:row r="131">
      <x:c r="A131" s="1" t="str">
        <x:v>! Units</x:v>
      </x:c>
      <x:c r="B131" s="1" t="str">
        <x:v>date</x:v>
      </x:c>
      <x:c r="C131" s="1"/>
      <x:c r="D131" s="1" t="str">
        <x:v>text</x:v>
      </x:c>
      <x:c r="E131" s="1" t="str">
        <x:v>code</x:v>
      </x:c>
      <x:c r="F131" s="1" t="str">
        <x:v>code</x:v>
      </x:c>
      <x:c r="G131" s="1" t="str">
        <x:v>cm</x:v>
      </x:c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</x:row>
    <x:row r="132">
      <x:c r="A132" s="2" t="str">
        <x:v>%</x:v>
      </x:c>
      <x:c r="B132" s="2" t="str">
        <x:v>HADAT</x:v>
      </x:c>
      <x:c r="C132" s="2"/>
      <x:c r="D132" s="2" t="str">
        <x:v>HARVT_HE</x:v>
      </x:c>
      <x:c r="E132" s="2" t="str">
        <x:v>hacom</x:v>
      </x:c>
      <x:c r="F132" s="2" t="str">
        <x:v>HARM</x:v>
      </x:c>
      <x:c r="G132" s="2" t="str">
        <x:v> HAHT </x:v>
      </x:c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</x:row>
    <x:row r="133">
      <x:c r="A133" s="1" t="n">
        <x:v>11</x:v>
      </x:c>
      <x:c r="B133" s="1" t="str">
        <x:v>2023-7-8</x:v>
      </x:c>
      <x:c r="C133" s="1"/>
      <x:c r="D133" s="1" t="str">
        <x:v>S0055</x:v>
      </x:c>
      <x:c r="E133" s="1" t="str">
        <x:v>grain</x:v>
      </x:c>
      <x:c r="F133" s="1" t="str">
        <x:v>Combined</x:v>
      </x:c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</x:row>
    <x:row r="134">
      <x:c r="A134" s="1" t="n">
        <x:v>17</x:v>
      </x:c>
      <x:c r="B134" s="1" t="str">
        <x:v>23189</x:v>
      </x:c>
      <x:c r="C134" s="1"/>
      <x:c r="D134" s="1" t="str">
        <x:v>S0055</x:v>
      </x:c>
      <x:c r="E134" s="1" t="str">
        <x:v>grain</x:v>
      </x:c>
      <x:c r="F134" s="1" t="str">
        <x:v>Combined</x:v>
      </x:c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</x:row>
    <x:row r="135">
      <x:c r="A135" s="1" t="n">
        <x:v>23</x:v>
      </x:c>
      <x:c r="B135" s="3" t="d">
        <x:v>2024-08-28T00:00:00.000Z</x:v>
      </x:c>
      <x:c r="C135" s="1"/>
      <x:c r="D135" s="1" t="str">
        <x:v>S0056</x:v>
      </x:c>
      <x:c r="E135" s="1" t="str">
        <x:v>grain</x:v>
      </x:c>
      <x:c r="F135" s="1" t="str">
        <x:v>Combined</x:v>
      </x:c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</x:row>
    <x:row r="136">
      <x:c r="A136" s="1" t="n">
        <x:v>29</x:v>
      </x:c>
      <x:c r="B136" s="1" t="str">
        <x:v> 2024-08-28</x:v>
      </x:c>
      <x:c r="C136" s="1"/>
      <x:c r="D136" s="1" t="str">
        <x:v>S0056</x:v>
      </x:c>
      <x:c r="E136" s="1" t="str">
        <x:v>grain</x:v>
      </x:c>
      <x:c r="F136" s="1" t="str">
        <x:v>Combined</x:v>
      </x:c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</x:row>
    <x:row r="137">
      <x:c r="A137" s="1" t="n">
        <x:v>35</x:v>
      </x:c>
      <x:c r="B137" s="1" t="str">
        <x:v>2025-8-30</x:v>
      </x:c>
      <x:c r="C137" s="1"/>
      <x:c r="D137" s="1" t="str">
        <x:v>S0057</x:v>
      </x:c>
      <x:c r="E137" s="1" t="str">
        <x:v>grain</x:v>
      </x:c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</x:row>
    <x:row r="138">
      <x:c r="A138" s="1" t="n">
        <x:v>41</x:v>
      </x:c>
      <x:c r="B138" s="1" t="str">
        <x:v>25242</x:v>
      </x:c>
      <x:c r="C138" s="1"/>
      <x:c r="D138" s="1" t="str">
        <x:v>S0057</x:v>
      </x:c>
      <x:c r="E138" s="1" t="str">
        <x:v>grain</x:v>
      </x:c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</x:row>
    <x:row r="139">
      <x:c r="A139" s="1" t="n">
        <x:v>47</x:v>
      </x:c>
      <x:c r="B139" s="3" t="d">
        <x:v>2026-07-21T00:00:00.000Z</x:v>
      </x:c>
      <x:c r="C139" s="1"/>
      <x:c r="D139" s="1" t="str">
        <x:v>S0058</x:v>
      </x:c>
      <x:c r="E139" s="1" t="str">
        <x:v>grain</x:v>
      </x:c>
      <x:c r="F139" s="1" t="str">
        <x:v>Combined</x:v>
      </x:c>
      <x:c r="G139" s="1" t="str">
        <x:v>-99.0</x:v>
      </x:c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</x:row>
    <x:row r="140">
      <x:c r="A140" s="1" t="n">
        <x:v>53</x:v>
      </x:c>
      <x:c r="B140" s="1" t="str">
        <x:v> 2026-07-21</x:v>
      </x:c>
      <x:c r="C140" s="1"/>
      <x:c r="D140" s="1" t="str">
        <x:v>S0058</x:v>
      </x:c>
      <x:c r="E140" s="1" t="str">
        <x:v>grain</x:v>
      </x:c>
      <x:c r="F140" s="1" t="str">
        <x:v>Combined</x:v>
      </x:c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  <x:c r="AB141" s="1"/>
      <x:c r="AC141" s="1"/>
    </x:row>
    <x:row r="142">
      <x:c r="A142" s="1" t="str">
        <x:v>! Section</x:v>
      </x:c>
      <x:c r="B142" s="1" t="str">
        <x:v>Initial_conditions</x:v>
      </x:c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  <x:c r="AA142" s="1"/>
      <x:c r="AB142" s="1"/>
      <x:c r="AC142" s="1"/>
    </x:row>
    <x:row r="143">
      <x:c r="A143" s="1" t="str">
        <x:v>! Definitions</x:v>
      </x:c>
      <x:c r="B143" s="1" t="str">
        <x:v>Initial profile inorganic nitrogen amount</x:v>
      </x:c>
      <x:c r="C143" s="1"/>
      <x:c r="D143" s="1" t="str">
        <x:v>Initial water content of entire profile, expressed as percent of available water</x:v>
      </x:c>
      <x:c r="E143" s="1" t="str">
        <x:v>Residue above-ground weight, dry weight basis</x:v>
      </x:c>
      <x:c r="F143" s="1" t="str">
        <x:v>Unique identifier for an initial conditions treatment</x:v>
      </x:c>
      <x:c r="G143" s="1" t="str">
        <x:v>Initial conditions measurement date; use YYYY-MM-DD.</x:v>
      </x:c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</x:row>
    <x:row r="144">
      <x:c r="A144" s="1" t="str">
        <x:v>! Units</x:v>
      </x:c>
      <x:c r="B144" s="1" t="str">
        <x:v>kg[N]/ha</x:v>
      </x:c>
      <x:c r="C144" s="1"/>
      <x:c r="D144" s="1" t="str">
        <x:v>%</x:v>
      </x:c>
      <x:c r="E144" s="1" t="str">
        <x:v>kg/ha</x:v>
      </x:c>
      <x:c r="F144" s="1" t="str">
        <x:v>text</x:v>
      </x:c>
      <x:c r="G144" s="1" t="str">
        <x:v>date</x:v>
      </x:c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</x:row>
    <x:row r="145">
      <x:c r="A145" s="2" t="str">
        <x:v>%</x:v>
      </x:c>
      <x:c r="B145" s="2" t="str">
        <x:v> ICII </x:v>
      </x:c>
      <x:c r="C145" s="2"/>
      <x:c r="D145" s="2" t="str">
        <x:v>ICSW%</x:v>
      </x:c>
      <x:c r="E145" s="2" t="str">
        <x:v>icrag</x:v>
      </x:c>
      <x:c r="F145" s="2" t="str">
        <x:v>INITCOND</x:v>
      </x:c>
      <x:c r="G145" s="2" t="str">
        <x:v>ICDAT</x:v>
      </x:c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</x:row>
    <x:row r="146">
      <x:c r="A146" s="1" t="n">
        <x:v>11</x:v>
      </x:c>
      <x:c r="B146" s="1" t="n">
        <x:v>26</x:v>
      </x:c>
      <x:c r="C146" s="1"/>
      <x:c r="D146" s="1" t="n">
        <x:v>53</x:v>
      </x:c>
      <x:c r="E146" s="1"/>
      <x:c r="F146" s="1" t="str">
        <x:v>S0065</x:v>
      </x:c>
      <x:c r="G146" s="1" t="str">
        <x:v>2023-3-3</x:v>
      </x:c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  <x:c r="AB146" s="1"/>
      <x:c r="AC146" s="1"/>
    </x:row>
    <x:row r="147">
      <x:c r="A147" s="1" t="n">
        <x:v>17</x:v>
      </x:c>
      <x:c r="B147" s="1" t="n">
        <x:v>26</x:v>
      </x:c>
      <x:c r="C147" s="1"/>
      <x:c r="D147" s="1" t="n">
        <x:v>53</x:v>
      </x:c>
      <x:c r="E147" s="1"/>
      <x:c r="F147" s="1" t="str">
        <x:v>S0065</x:v>
      </x:c>
      <x:c r="G147" s="1" t="str">
        <x:v>23062</x:v>
      </x:c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</x:row>
    <x:row r="148">
      <x:c r="A148" s="1" t="n">
        <x:v>23</x:v>
      </x:c>
      <x:c r="B148" s="1" t="n">
        <x:v>28</x:v>
      </x:c>
      <x:c r="C148" s="1"/>
      <x:c r="D148" s="1" t="n">
        <x:v>55</x:v>
      </x:c>
      <x:c r="E148" s="1"/>
      <x:c r="F148" s="1" t="str">
        <x:v>S0066</x:v>
      </x:c>
      <x:c r="G148" s="3" t="d">
        <x:v>2024-04-13T00:00:00.000Z</x:v>
      </x:c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</x:row>
    <x:row r="149">
      <x:c r="A149" s="1" t="n">
        <x:v>29</x:v>
      </x:c>
      <x:c r="B149" s="1" t="n">
        <x:v>28</x:v>
      </x:c>
      <x:c r="C149" s="1"/>
      <x:c r="D149" s="1" t="n">
        <x:v>55</x:v>
      </x:c>
      <x:c r="E149" s="1"/>
      <x:c r="F149" s="1" t="str">
        <x:v>S0066</x:v>
      </x:c>
      <x:c r="G149" s="1" t="str">
        <x:v> 2024-04-13</x:v>
      </x:c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</x:row>
    <x:row r="150">
      <x:c r="A150" s="1" t="n">
        <x:v>35</x:v>
      </x:c>
      <x:c r="B150" s="1" t="n">
        <x:v>30</x:v>
      </x:c>
      <x:c r="C150" s="1"/>
      <x:c r="D150" s="1" t="n">
        <x:v>57</x:v>
      </x:c>
      <x:c r="E150" s="1"/>
      <x:c r="F150" s="1" t="str">
        <x:v>S0067</x:v>
      </x:c>
      <x:c r="G150" s="1" t="str">
        <x:v>2025-5-5</x:v>
      </x:c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</x:row>
    <x:row r="151">
      <x:c r="A151" s="1" t="n">
        <x:v>41</x:v>
      </x:c>
      <x:c r="B151" s="1" t="n">
        <x:v>30</x:v>
      </x:c>
      <x:c r="C151" s="1"/>
      <x:c r="D151" s="1" t="n">
        <x:v>57</x:v>
      </x:c>
      <x:c r="E151" s="1"/>
      <x:c r="F151" s="1" t="str">
        <x:v>S0067</x:v>
      </x:c>
      <x:c r="G151" s="1" t="str">
        <x:v>25125</x:v>
      </x:c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  <x:c r="AB151" s="1"/>
      <x:c r="AC151" s="1"/>
    </x:row>
    <x:row r="152">
      <x:c r="A152" s="1" t="n">
        <x:v>47</x:v>
      </x:c>
      <x:c r="B152" s="1" t="n">
        <x:v>32</x:v>
      </x:c>
      <x:c r="C152" s="1"/>
      <x:c r="D152" s="1" t="n">
        <x:v>59</x:v>
      </x:c>
      <x:c r="E152" s="1"/>
      <x:c r="F152" s="1" t="str">
        <x:v>S0068</x:v>
      </x:c>
      <x:c r="G152" s="3" t="d">
        <x:v>2026-03-11T00:00:00.000Z</x:v>
      </x:c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</x:row>
    <x:row r="153">
      <x:c r="A153" s="1" t="n">
        <x:v>53</x:v>
      </x:c>
      <x:c r="B153" s="1" t="n">
        <x:v>32</x:v>
      </x:c>
      <x:c r="C153" s="1"/>
      <x:c r="D153" s="1" t="n">
        <x:v>59</x:v>
      </x:c>
      <x:c r="E153" s="1" t="str">
        <x:v>-99</x:v>
      </x:c>
      <x:c r="F153" s="1" t="str">
        <x:v>S0068</x:v>
      </x:c>
      <x:c r="G153" s="1" t="str">
        <x:v> 2026-03-11</x:v>
      </x:c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  <x:c r="AA153" s="1"/>
      <x:c r="AB153" s="1"/>
      <x:c r="AC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  <x:c r="AB154" s="1"/>
      <x:c r="AC154" s="1"/>
    </x:row>
    <x:row r="155">
      <x:c r="A155" s="1" t="str">
        <x:v>! Section</x:v>
      </x:c>
      <x:c r="B155" s="1" t="str">
        <x:v>Initial_conditions_layer</x:v>
      </x:c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</x:row>
    <x:row r="156">
      <x:c r="A156" s="1" t="str">
        <x:v>! Definitions</x:v>
      </x:c>
      <x:c r="B156" s="1" t="str">
        <x:v>Initial conditions measurement date; use YYYY-MM-DD.</x:v>
      </x:c>
      <x:c r="C156" s="1"/>
      <x:c r="D156" s="1" t="str">
        <x:v>Identifier of the initial conditions treatment associated with the soil layer</x:v>
      </x:c>
      <x:c r="E156" s="1" t="str">
        <x:v>Soil layer depth to upper boundary of sample (top)</x:v>
      </x:c>
      <x:c r="F156" s="1" t="str">
        <x:v>Soil layer depth to lower boundary of sample (bottom)</x:v>
      </x:c>
      <x:c r="G156" s="1" t="str">
        <x:v>One or more represented plot_season_id values for this observation or layer row. Use a single ID for a single plot-season; use multiple IDs only for a broader observation. The API stores the trimmed, duplicate-free list in lexicographic order.</x:v>
      </x:c>
      <x:c r="H156" s="1" t="str">
        <x:v>Initial water concentration by layer</x:v>
      </x:c>
      <x:c r="I156" s="1" t="str">
        <x:v>Initial NO3 conc., as elemental N on dry wt. basis, by layer</x:v>
      </x:c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</x:row>
    <x:row r="157">
      <x:c r="A157" s="1" t="str">
        <x:v>! Units</x:v>
      </x:c>
      <x:c r="B157" s="1" t="str">
        <x:v>date</x:v>
      </x:c>
      <x:c r="C157" s="1"/>
      <x:c r="D157" s="1" t="str">
        <x:v>text</x:v>
      </x:c>
      <x:c r="E157" s="1" t="str">
        <x:v>cm</x:v>
      </x:c>
      <x:c r="F157" s="1" t="str">
        <x:v>cm</x:v>
      </x:c>
      <x:c r="G157" s="1" t="str">
        <x:v>text</x:v>
      </x:c>
      <x:c r="H157" s="1" t="str">
        <x:v>unitless</x:v>
      </x:c>
      <x:c r="I157" s="1" t="str">
        <x:v>ppm</x:v>
      </x:c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</x:row>
    <x:row r="158">
      <x:c r="A158" s="2" t="str">
        <x:v>%</x:v>
      </x:c>
      <x:c r="B158" s="2" t="str">
        <x:v>ICDAT</x:v>
      </x:c>
      <x:c r="C158" s="2"/>
      <x:c r="D158" s="2" t="str">
        <x:v>INIT_ICL</x:v>
      </x:c>
      <x:c r="E158" s="2" t="str">
        <x:v>sldub</x:v>
      </x:c>
      <x:c r="F158" s="2" t="str">
        <x:v>SLDLB</x:v>
      </x:c>
      <x:c r="G158" s="2" t="str">
        <x:v> GRPP_ICL </x:v>
      </x:c>
      <x:c r="H158" s="2" t="str">
        <x:v>ich2o</x:v>
      </x:c>
      <x:c r="I158" s="2" t="str">
        <x:v>ICNO3</x:v>
      </x:c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</x:row>
    <x:row r="159">
      <x:c r="A159" s="1" t="n">
        <x:v>11</x:v>
      </x:c>
      <x:c r="B159" s="1" t="str">
        <x:v>2023-3-3</x:v>
      </x:c>
      <x:c r="C159" s="1"/>
      <x:c r="D159" s="1" t="str">
        <x:v>S0065</x:v>
      </x:c>
      <x:c r="E159" s="1" t="n">
        <x:v>0</x:v>
      </x:c>
      <x:c r="F159" s="1" t="n">
        <x:v>20</x:v>
      </x:c>
      <x:c r="G159" s="1" t="str">
        <x:v>11;17</x:v>
      </x:c>
      <x:c r="H159" s="1" t="n">
        <x:v>0.2</x:v>
      </x:c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  <x:c r="AA159" s="1"/>
      <x:c r="AB159" s="1"/>
      <x:c r="AC159" s="1"/>
    </x:row>
    <x:row r="160">
      <x:c r="A160" s="1" t="n">
        <x:v>11</x:v>
      </x:c>
      <x:c r="B160" s="1" t="str">
        <x:v>23062</x:v>
      </x:c>
      <x:c r="C160" s="1"/>
      <x:c r="D160" s="1" t="str">
        <x:v>S0065</x:v>
      </x:c>
      <x:c r="E160" s="1" t="n">
        <x:v>20</x:v>
      </x:c>
      <x:c r="F160" s="1" t="n">
        <x:v>40</x:v>
      </x:c>
      <x:c r="G160" s="1" t="str">
        <x:v>11;17</x:v>
      </x:c>
      <x:c r="H160" s="1" t="n">
        <x:v>0.21</x:v>
      </x:c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</x:row>
    <x:row r="161">
      <x:c r="A161" s="1" t="n">
        <x:v>23</x:v>
      </x:c>
      <x:c r="B161" s="3" t="d">
        <x:v>2024-04-13T00:00:00.000Z</x:v>
      </x:c>
      <x:c r="C161" s="1"/>
      <x:c r="D161" s="1" t="str">
        <x:v>S0066</x:v>
      </x:c>
      <x:c r="E161" s="1" t="n">
        <x:v>0</x:v>
      </x:c>
      <x:c r="F161" s="1" t="n">
        <x:v>20</x:v>
      </x:c>
      <x:c r="G161" s="1" t="str">
        <x:v>23;29</x:v>
      </x:c>
      <x:c r="H161" s="1" t="n">
        <x:v>0.205</x:v>
      </x:c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</x:row>
    <x:row r="162">
      <x:c r="A162" s="1" t="n">
        <x:v>23</x:v>
      </x:c>
      <x:c r="B162" s="1" t="str">
        <x:v> 2024-04-13</x:v>
      </x:c>
      <x:c r="C162" s="1"/>
      <x:c r="D162" s="1" t="str">
        <x:v>S0066</x:v>
      </x:c>
      <x:c r="E162" s="1" t="n">
        <x:v>20</x:v>
      </x:c>
      <x:c r="F162" s="1" t="n">
        <x:v>40</x:v>
      </x:c>
      <x:c r="G162" s="1" t="str">
        <x:v>23;29</x:v>
      </x:c>
      <x:c r="H162" s="1" t="n">
        <x:v>0.215</x:v>
      </x:c>
      <x:c r="I162" s="1" t="str">
        <x:v>-99</x:v>
      </x:c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  <x:c r="AB162" s="1"/>
      <x:c r="AC162" s="1"/>
    </x:row>
    <x:row r="163">
      <x:c r="A163" s="1" t="n">
        <x:v>35</x:v>
      </x:c>
      <x:c r="B163" s="1" t="str">
        <x:v>2025-5-5</x:v>
      </x:c>
      <x:c r="C163" s="1"/>
      <x:c r="D163" s="1" t="str">
        <x:v>S0067</x:v>
      </x:c>
      <x:c r="E163" s="1" t="n">
        <x:v>0</x:v>
      </x:c>
      <x:c r="F163" s="1" t="n">
        <x:v>20</x:v>
      </x:c>
      <x:c r="G163" s="1" t="str">
        <x:v>35;41</x:v>
      </x:c>
      <x:c r="H163" s="1" t="n">
        <x:v>0.21</x:v>
      </x:c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</x:row>
    <x:row r="164">
      <x:c r="A164" s="1" t="n">
        <x:v>35</x:v>
      </x:c>
      <x:c r="B164" s="1" t="str">
        <x:v>25125</x:v>
      </x:c>
      <x:c r="C164" s="1"/>
      <x:c r="D164" s="1" t="str">
        <x:v>S0067</x:v>
      </x:c>
      <x:c r="E164" s="1" t="n">
        <x:v>20</x:v>
      </x:c>
      <x:c r="F164" s="1" t="n">
        <x:v>40</x:v>
      </x:c>
      <x:c r="G164" s="1" t="str">
        <x:v>35;41</x:v>
      </x:c>
      <x:c r="H164" s="1" t="n">
        <x:v>0.22</x:v>
      </x:c>
      <x:c r="I164" s="1" t="str">
        <x:v>-99.0</x:v>
      </x:c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</x:row>
    <x:row r="165">
      <x:c r="A165" s="1" t="n">
        <x:v>47</x:v>
      </x:c>
      <x:c r="B165" s="3" t="d">
        <x:v>2026-03-11T00:00:00.000Z</x:v>
      </x:c>
      <x:c r="C165" s="1"/>
      <x:c r="D165" s="1" t="str">
        <x:v>S0068</x:v>
      </x:c>
      <x:c r="E165" s="1" t="n">
        <x:v>0</x:v>
      </x:c>
      <x:c r="F165" s="1" t="n">
        <x:v>20</x:v>
      </x:c>
      <x:c r="G165" s="1" t="str">
        <x:v>47;53</x:v>
      </x:c>
      <x:c r="H165" s="1" t="n">
        <x:v>0.215</x:v>
      </x:c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</x:row>
    <x:row r="166">
      <x:c r="A166" s="1" t="n">
        <x:v>47</x:v>
      </x:c>
      <x:c r="B166" s="1" t="str">
        <x:v> 2026-03-11</x:v>
      </x:c>
      <x:c r="C166" s="1"/>
      <x:c r="D166" s="1" t="str">
        <x:v>S0068</x:v>
      </x:c>
      <x:c r="E166" s="1" t="n">
        <x:v>20</x:v>
      </x:c>
      <x:c r="F166" s="1" t="n">
        <x:v>40</x:v>
      </x:c>
      <x:c r="G166" s="1" t="str">
        <x:v>47;53</x:v>
      </x:c>
      <x:c r="H166" s="1" t="n">
        <x:v>0.225</x:v>
      </x:c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</x:row>
    <x:row r="168">
      <x:c r="A168" s="1" t="str">
        <x:v>! Section</x:v>
      </x:c>
      <x:c r="B168" s="1" t="str">
        <x:v>Other_observations_summary</x:v>
      </x:c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</x:row>
    <x:row r="169">
      <x:c r="A169" s="1" t="str">
        <x:v>! Definitions</x:v>
      </x:c>
      <x:c r="B169" s="1" t="str">
        <x:v>Organic matter appl (dry), cumulative</x:v>
      </x:c>
      <x:c r="C169" s="1"/>
      <x:c r="D169" s="1" t="str">
        <x:v>N, inorganic, applied up to harvest maturity</x:v>
      </x:c>
      <x:c r="E169" s="1" t="str">
        <x:v>Daily air temperature, average, sowing to harvest</x:v>
      </x:c>
      <x:c r="F169" s="1" t="str">
        <x:v>Minimum daily air temperature, average, sowing to harvest</x:v>
      </x:c>
      <x:c r="G169" s="1" t="str">
        <x:v>Maximum daily air temperature, average, sowing to harvest</x:v>
      </x:c>
      <x:c r="H169" s="1" t="str">
        <x:v>Solar radiation, average, sowing to harvest</x:v>
      </x:c>
      <x:c r="I169" s="1" t="str">
        <x:v>Drainage,season</x:v>
      </x:c>
      <x:c r="J169" s="1" t="str">
        <x:v>Runoff, season total</x:v>
      </x:c>
      <x:c r="K169" s="1" t="str">
        <x:v>Evaporation,soil, cumulative from planting to harvest</x:v>
      </x:c>
      <x:c r="L169" s="1" t="str">
        <x:v>Transpiration, cumulative from planting to harvest</x:v>
      </x:c>
      <x:c r="M169" s="1" t="str">
        <x:v>Evapotranspiration, cumulative from planting to harvest</x:v>
      </x:c>
      <x:c r="N169" s="1" t="str">
        <x:v>Rainfall, planting to harvest</x:v>
      </x:c>
      <x:c r="O169" s="1" t="str">
        <x:v>One or more represented plot_season_id values for this observation or layer row. The row's plot_season_id must be included; use a single ID for a single plot-season; use multiple IDs only for a broader observation. The API stores the trimmed, duplicate-free list in lexicographic order.</x:v>
      </x:c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</x:row>
    <x:row r="170">
      <x:c r="A170" s="1" t="str">
        <x:v>! Units</x:v>
      </x:c>
      <x:c r="B170" s="1" t="str">
        <x:v>kg/ha</x:v>
      </x:c>
      <x:c r="C170" s="1"/>
      <x:c r="D170" s="1" t="str">
        <x:v>kg/ha</x:v>
      </x:c>
      <x:c r="E170" s="1" t="str">
        <x:v>degree_C</x:v>
      </x:c>
      <x:c r="F170" s="1" t="str">
        <x:v>degree_C</x:v>
      </x:c>
      <x:c r="G170" s="1" t="str">
        <x:v>degree_C</x:v>
      </x:c>
      <x:c r="H170" s="1" t="str">
        <x:v>MJ/(m2.d)</x:v>
      </x:c>
      <x:c r="I170" s="1" t="str">
        <x:v>mm</x:v>
      </x:c>
      <x:c r="J170" s="1" t="str">
        <x:v>mm</x:v>
      </x:c>
      <x:c r="K170" s="1" t="str">
        <x:v>mm</x:v>
      </x:c>
      <x:c r="L170" s="1" t="str">
        <x:v>mm</x:v>
      </x:c>
      <x:c r="M170" s="1" t="str">
        <x:v>mm</x:v>
      </x:c>
      <x:c r="N170" s="1" t="str">
        <x:v>mm</x:v>
      </x:c>
      <x:c r="O170" s="1" t="str">
        <x:v>text</x:v>
      </x:c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</x:row>
    <x:row r="171">
      <x:c r="A171" s="2" t="str">
        <x:v>#</x:v>
      </x:c>
      <x:c r="B171" s="2" t="str">
        <x:v>OMAC</x:v>
      </x:c>
      <x:c r="C171" s="2"/>
      <x:c r="D171" s="2" t="str">
        <x:v>nicm</x:v>
      </x:c>
      <x:c r="E171" s="2" t="str">
        <x:v>TAVGA</x:v>
      </x:c>
      <x:c r="F171" s="2" t="str">
        <x:v> TMINA </x:v>
      </x:c>
      <x:c r="G171" s="2" t="str">
        <x:v>tmaxa</x:v>
      </x:c>
      <x:c r="H171" s="2" t="str">
        <x:v>SRAA</x:v>
      </x:c>
      <x:c r="I171" s="2" t="str">
        <x:v>DRCM</x:v>
      </x:c>
      <x:c r="J171" s="2" t="str">
        <x:v>ropm</x:v>
      </x:c>
      <x:c r="K171" s="2" t="str">
        <x:v> ESCP </x:v>
      </x:c>
      <x:c r="L171" s="2" t="str">
        <x:v>EPCP</x:v>
      </x:c>
      <x:c r="M171" s="2" t="str">
        <x:v>etcp</x:v>
      </x:c>
      <x:c r="N171" s="2" t="str">
        <x:v>PRCP</x:v>
      </x:c>
      <x:c r="O171" s="2" t="str">
        <x:v>GRPPL_OO</x:v>
      </x:c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</x:row>
    <x:row r="172">
      <x:c r="A172" s="1" t="n">
        <x:v>11</x:v>
      </x:c>
      <x:c r="B172" s="1"/>
      <x:c r="C172" s="1"/>
      <x:c r="D172" s="1" t="n">
        <x:v>20</x:v>
      </x:c>
      <x:c r="E172" s="1"/>
      <x:c r="F172" s="1"/>
      <x:c r="G172" s="1"/>
      <x:c r="H172" s="1"/>
      <x:c r="I172" s="1" t="n">
        <x:v>26</x:v>
      </x:c>
      <x:c r="J172" s="1"/>
      <x:c r="K172" s="1" t="n">
        <x:v>85.2</x:v>
      </x:c>
      <x:c r="L172" s="1" t="n">
        <x:v>235.2</x:v>
      </x:c>
      <x:c r="M172" s="1" t="n">
        <x:v>320.4</x:v>
      </x:c>
      <x:c r="N172" s="1" t="n">
        <x:v>191.08</x:v>
      </x:c>
      <x:c r="O172" s="1" t="str">
        <x:v>11</x:v>
      </x:c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</x:row>
    <x:row r="173">
      <x:c r="A173" s="1" t="n">
        <x:v>23</x:v>
      </x:c>
      <x:c r="B173" s="1"/>
      <x:c r="C173" s="1"/>
      <x:c r="D173" s="1" t="n">
        <x:v>20</x:v>
      </x:c>
      <x:c r="E173" s="1" t="n">
        <x:v>17.747</x:v>
      </x:c>
      <x:c r="F173" s="1" t="n">
        <x:v>13.734</x:v>
      </x:c>
      <x:c r="G173" s="1" t="n">
        <x:v>21.758</x:v>
      </x:c>
      <x:c r="H173" s="1" t="n">
        <x:v>15.891</x:v>
      </x:c>
      <x:c r="I173" s="1"/>
      <x:c r="J173" s="1"/>
      <x:c r="K173" s="1"/>
      <x:c r="L173" s="1"/>
      <x:c r="M173" s="1"/>
      <x:c r="N173" s="1" t="n">
        <x:v>337.93</x:v>
      </x:c>
      <x:c r="O173" s="1" t="str">
        <x:v>23</x:v>
      </x:c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</x:row>
    <x:row r="174">
      <x:c r="A174" s="1" t="n">
        <x:v>35</x:v>
      </x:c>
      <x:c r="B174" s="1" t="str">
        <x:v>-99</x:v>
      </x:c>
      <x:c r="C174" s="1"/>
      <x:c r="D174" s="1" t="n">
        <x:v>20</x:v>
      </x:c>
      <x:c r="E174" s="1"/>
      <x:c r="F174" s="1"/>
      <x:c r="G174" s="1"/>
      <x:c r="H174" s="1" t="str">
        <x:v>-99.0</x:v>
      </x:c>
      <x:c r="I174" s="1"/>
      <x:c r="J174" s="1" t="n">
        <x:v>14</x:v>
      </x:c>
      <x:c r="K174" s="1" t="n">
        <x:v>78.1</x:v>
      </x:c>
      <x:c r="L174" s="1" t="n">
        <x:v>215.6</x:v>
      </x:c>
      <x:c r="M174" s="1" t="n">
        <x:v>293.7</x:v>
      </x:c>
      <x:c r="N174" s="1" t="n">
        <x:v>245.38</x:v>
      </x:c>
      <x:c r="O174" s="1" t="str">
        <x:v>35</x:v>
      </x:c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</x:row>
    <x:row r="175">
      <x:c r="A175" s="1" t="n">
        <x:v>47</x:v>
      </x:c>
      <x:c r="B175" s="1" t="str">
        <x:v>-99.0</x:v>
      </x:c>
      <x:c r="C175" s="1"/>
      <x:c r="D175" s="1" t="n">
        <x:v>20</x:v>
      </x:c>
      <x:c r="E175" s="1" t="n">
        <x:v>15.214</x:v>
      </x:c>
      <x:c r="F175" s="1" t="n">
        <x:v>11.226</x:v>
      </x:c>
      <x:c r="G175" s="1" t="n">
        <x:v>19.204</x:v>
      </x:c>
      <x:c r="H175" s="1" t="n">
        <x:v>13.597</x:v>
      </x:c>
      <x:c r="I175" s="1" t="n">
        <x:v>26</x:v>
      </x:c>
      <x:c r="J175" s="1"/>
      <x:c r="K175" s="1"/>
      <x:c r="L175" s="1"/>
      <x:c r="M175" s="1"/>
      <x:c r="N175" s="1" t="n">
        <x:v>272.5</x:v>
      </x:c>
      <x:c r="O175" s="1" t="str">
        <x:v>47</x:v>
      </x:c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</x:row>
    <x:row r="176">
      <x:c r="A176" s="1" t="n">
        <x:v>17</x:v>
      </x:c>
      <x:c r="B176" s="1"/>
      <x:c r="C176" s="1"/>
      <x:c r="D176" s="1" t="n">
        <x:v>60</x:v>
      </x:c>
      <x:c r="E176" s="1"/>
      <x:c r="F176" s="1"/>
      <x:c r="G176" s="1"/>
      <x:c r="H176" s="1" t="str">
        <x:v>-99</x:v>
      </x:c>
      <x:c r="I176" s="1"/>
      <x:c r="J176" s="1"/>
      <x:c r="K176" s="1" t="n">
        <x:v>85.2</x:v>
      </x:c>
      <x:c r="L176" s="1" t="n">
        <x:v>235.2</x:v>
      </x:c>
      <x:c r="M176" s="1" t="n">
        <x:v>320.4</x:v>
      </x:c>
      <x:c r="N176" s="1" t="n">
        <x:v>191.08</x:v>
      </x:c>
      <x:c r="O176" s="1" t="str">
        <x:v>17</x:v>
      </x:c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</x:row>
    <x:row r="177">
      <x:c r="A177" s="1" t="n">
        <x:v>29</x:v>
      </x:c>
      <x:c r="B177" s="1"/>
      <x:c r="C177" s="1"/>
      <x:c r="D177" s="1" t="n">
        <x:v>60</x:v>
      </x:c>
      <x:c r="E177" s="1" t="n">
        <x:v>17.747</x:v>
      </x:c>
      <x:c r="F177" s="1" t="n">
        <x:v>13.734</x:v>
      </x:c>
      <x:c r="G177" s="1" t="n">
        <x:v>21.758</x:v>
      </x:c>
      <x:c r="H177" s="1" t="n">
        <x:v>15.891</x:v>
      </x:c>
      <x:c r="I177" s="1"/>
      <x:c r="J177" s="1" t="n">
        <x:v>14</x:v>
      </x:c>
      <x:c r="K177" s="1"/>
      <x:c r="L177" s="1"/>
      <x:c r="M177" s="1"/>
      <x:c r="N177" s="1" t="n">
        <x:v>337.93</x:v>
      </x:c>
      <x:c r="O177" s="1" t="str">
        <x:v>29</x:v>
      </x:c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</x:row>
    <x:row r="178">
      <x:c r="A178" s="1" t="n">
        <x:v>41</x:v>
      </x:c>
      <x:c r="B178" s="1"/>
      <x:c r="C178" s="1"/>
      <x:c r="D178" s="1" t="n">
        <x:v>60</x:v>
      </x:c>
      <x:c r="E178" s="1"/>
      <x:c r="F178" s="1"/>
      <x:c r="G178" s="1"/>
      <x:c r="H178" s="1"/>
      <x:c r="I178" s="1" t="n">
        <x:v>26</x:v>
      </x:c>
      <x:c r="J178" s="1"/>
      <x:c r="K178" s="1" t="n">
        <x:v>78.1</x:v>
      </x:c>
      <x:c r="L178" s="1" t="n">
        <x:v>215.6</x:v>
      </x:c>
      <x:c r="M178" s="1" t="n">
        <x:v>293.7</x:v>
      </x:c>
      <x:c r="N178" s="1" t="n">
        <x:v>245.38</x:v>
      </x:c>
      <x:c r="O178" s="1" t="str">
        <x:v>41</x:v>
      </x:c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</x:row>
    <x:row r="179">
      <x:c r="A179" s="1" t="n">
        <x:v>53</x:v>
      </x:c>
      <x:c r="B179" s="1"/>
      <x:c r="C179" s="1"/>
      <x:c r="D179" s="1" t="n">
        <x:v>60</x:v>
      </x:c>
      <x:c r="E179" s="1" t="n">
        <x:v>15.214</x:v>
      </x:c>
      <x:c r="F179" s="1" t="n">
        <x:v>11.226</x:v>
      </x:c>
      <x:c r="G179" s="1" t="n">
        <x:v>19.204</x:v>
      </x:c>
      <x:c r="H179" s="1" t="n">
        <x:v>13.597</x:v>
      </x:c>
      <x:c r="I179" s="1"/>
      <x:c r="J179" s="1"/>
      <x:c r="K179" s="1"/>
      <x:c r="L179" s="1" t="str">
        <x:v>-99.0</x:v>
      </x:c>
      <x:c r="M179" s="1"/>
      <x:c r="N179" s="1" t="n">
        <x:v>272.5</x:v>
      </x:c>
      <x:c r="O179" s="1" t="str">
        <x:v>53</x:v>
      </x:c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</x:row>
    <x:row r="181">
      <x:c r="A181" s="1" t="str">
        <x:v>! Section</x:v>
      </x:c>
      <x:c r="B181" s="1" t="str">
        <x:v>Other_observations_timeseries</x:v>
      </x:c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</x:row>
    <x:row r="182">
      <x:c r="A182" s="1" t="str">
        <x:v>! Definitions</x:v>
      </x:c>
      <x:c r="B182" s="1" t="str">
        <x:v>Date of measurement; use YYYY-MM-DD.</x:v>
      </x:c>
      <x:c r="C182" s="1"/>
      <x:c r="D182" s="1" t="str">
        <x:v>One or more represented plot_season_id values for this observation or layer row. The row's plot_season_id must be included; use a single ID for a single plot-season; use multiple IDs only for a broader observation. The API stores the trimmed, duplicate-free list in lexicographic order.</x:v>
      </x:c>
      <x:c r="E182" s="1" t="str">
        <x:v>Water available in root zone</x:v>
      </x:c>
      <x:c r="F182" s="1" t="str">
        <x:v>Transpiration (evaporation from plant), daily</x:v>
      </x:c>
      <x:c r="G182" s="1" t="str">
        <x:v>Evaporation, soil, daily</x:v>
      </x:c>
      <x:c r="H182" s="1" t="str">
        <x:v>Evapotranspiration</x:v>
      </x:c>
      <x:c r="I182" s="1" t="str">
        <x:v>Irrigation applications, cumulative</x:v>
      </x:c>
      <x:c r="J182" s="1" t="str">
        <x:v>Water stress factor reducing growth (0 to 1 scale)</x:v>
      </x:c>
      <x:c r="K182" s="1" t="str">
        <x:v>Irrigation, cumulative</x:v>
      </x:c>
      <x:c r="L182" s="1" t="str">
        <x:v>N applications</x:v>
      </x:c>
      <x:c r="M182" s="1" t="str">
        <x:v>Floodwater depth</x:v>
      </x:c>
      <x:c r="N182" s="1" t="str">
        <x:v>Daily CO2 emitted from decomposition of SOM</x:v>
      </x:c>
      <x:c r="O182" s="1" t="str">
        <x:v>Daily N2O emitted from soil</x:v>
      </x:c>
      <x:c r="P182" s="1" t="str">
        <x:v>Daily methane emitted from soil</x:v>
      </x:c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</x:row>
    <x:row r="183">
      <x:c r="A183" s="1" t="str">
        <x:v>! Units</x:v>
      </x:c>
      <x:c r="B183" s="1" t="str">
        <x:v>date</x:v>
      </x:c>
      <x:c r="C183" s="1"/>
      <x:c r="D183" s="1" t="str">
        <x:v>text</x:v>
      </x:c>
      <x:c r="E183" s="1" t="str">
        <x:v>mm</x:v>
      </x:c>
      <x:c r="F183" s="1" t="str">
        <x:v>mm/d</x:v>
      </x:c>
      <x:c r="G183" s="1" t="str">
        <x:v>mm/d</x:v>
      </x:c>
      <x:c r="H183" s="1" t="str">
        <x:v>mm/d</x:v>
      </x:c>
      <x:c r="I183" s="1" t="str">
        <x:v>number</x:v>
      </x:c>
      <x:c r="J183" s="1" t="str">
        <x:v>number</x:v>
      </x:c>
      <x:c r="K183" s="1" t="str">
        <x:v>mm</x:v>
      </x:c>
      <x:c r="L183" s="1" t="str">
        <x:v>number</x:v>
      </x:c>
      <x:c r="M183" s="1" t="str">
        <x:v>mm</x:v>
      </x:c>
      <x:c r="N183" s="1" t="str">
        <x:v>g/ha</x:v>
      </x:c>
      <x:c r="O183" s="1" t="str">
        <x:v>g/ha</x:v>
      </x:c>
      <x:c r="P183" s="1" t="str">
        <x:v>g/ha</x:v>
      </x:c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</x:row>
    <x:row r="184">
      <x:c r="A184" s="2" t="str">
        <x:v>%</x:v>
      </x:c>
      <x:c r="B184" s="2" t="str">
        <x:v>DATE</x:v>
      </x:c>
      <x:c r="C184" s="2"/>
      <x:c r="D184" s="2" t="str">
        <x:v>GRPPL_OO</x:v>
      </x:c>
      <x:c r="E184" s="2" t="str">
        <x:v>h2oa</x:v>
      </x:c>
      <x:c r="F184" s="2" t="str">
        <x:v>EPAD</x:v>
      </x:c>
      <x:c r="G184" s="2" t="str">
        <x:v> ESAD </x:v>
      </x:c>
      <x:c r="H184" s="2" t="str">
        <x:v>etad</x:v>
      </x:c>
      <x:c r="I184" s="2" t="str">
        <x:v>IR#C</x:v>
      </x:c>
      <x:c r="J184" s="2" t="str">
        <x:v>WFGD</x:v>
      </x:c>
      <x:c r="K184" s="2" t="str">
        <x:v>irrc</x:v>
      </x:c>
      <x:c r="L184" s="2" t="str">
        <x:v> NI#M </x:v>
      </x:c>
      <x:c r="M184" s="2" t="str">
        <x:v>FLDD</x:v>
      </x:c>
      <x:c r="N184" s="2" t="str">
        <x:v>co2ed</x:v>
      </x:c>
      <x:c r="O184" s="2" t="str">
        <x:v>L2OEM</x:v>
      </x:c>
      <x:c r="P184" s="2" t="str">
        <x:v>CH4ED</x:v>
      </x:c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</x:row>
    <x:row r="185">
      <x:c r="A185" s="1" t="n">
        <x:v>11</x:v>
      </x:c>
      <x:c r="B185" s="1" t="str">
        <x:v>2023-4-9</x:v>
      </x:c>
      <x:c r="C185" s="1"/>
      <x:c r="D185" s="1" t="str">
        <x:v>11</x:v>
      </x:c>
      <x:c r="E185" s="1" t="n">
        <x:v>67.5</x:v>
      </x:c>
      <x:c r="F185" s="1"/>
      <x:c r="G185" s="1"/>
      <x:c r="H185" s="1" t="n">
        <x:v>3.62</x:v>
      </x:c>
      <x:c r="I185" s="1"/>
      <x:c r="J185" s="1" t="n">
        <x:v>0.93</x:v>
      </x:c>
      <x:c r="K185" s="1" t="str">
        <x:v>-99</x:v>
      </x:c>
      <x:c r="L185" s="1" t="n">
        <x:v>2</x:v>
      </x:c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</x:row>
    <x:row r="186">
      <x:c r="A186" s="1" t="n">
        <x:v>11</x:v>
      </x:c>
      <x:c r="B186" s="1" t="str">
        <x:v>23135</x:v>
      </x:c>
      <x:c r="C186" s="1"/>
      <x:c r="D186" s="1" t="str">
        <x:v>11</x:v>
      </x:c>
      <x:c r="E186" s="1" t="n">
        <x:v>58.5</x:v>
      </x:c>
      <x:c r="F186" s="1"/>
      <x:c r="G186" s="1"/>
      <x:c r="H186" s="1" t="n">
        <x:v>3.99</x:v>
      </x:c>
      <x:c r="I186" s="1"/>
      <x:c r="J186" s="1" t="n">
        <x:v>0.88</x:v>
      </x:c>
      <x:c r="K186" s="1"/>
      <x:c r="L186" s="1" t="n">
        <x:v>2</x:v>
      </x:c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</x:row>
    <x:row r="187">
      <x:c r="A187" s="1" t="n">
        <x:v>11</x:v>
      </x:c>
      <x:c r="B187" s="3" t="d">
        <x:v>2023-06-26T00:00:00.000Z</x:v>
      </x:c>
      <x:c r="C187" s="1"/>
      <x:c r="D187" s="1" t="str">
        <x:v>11</x:v>
      </x:c>
      <x:c r="E187" s="1" t="n">
        <x:v>48</x:v>
      </x:c>
      <x:c r="F187" s="1"/>
      <x:c r="G187" s="1"/>
      <x:c r="H187" s="1" t="n">
        <x:v>2.61</x:v>
      </x:c>
      <x:c r="I187" s="1"/>
      <x:c r="J187" s="1" t="n">
        <x:v>0.82</x:v>
      </x:c>
      <x:c r="K187" s="1"/>
      <x:c r="L187" s="1" t="n">
        <x:v>2</x:v>
      </x:c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</x:row>
    <x:row r="188">
      <x:c r="A188" s="1" t="n">
        <x:v>23</x:v>
      </x:c>
      <x:c r="B188" s="1" t="str">
        <x:v> 2024-05-22</x:v>
      </x:c>
      <x:c r="C188" s="1"/>
      <x:c r="D188" s="1" t="str">
        <x:v>23</x:v>
      </x:c>
      <x:c r="E188" s="1"/>
      <x:c r="F188" s="1"/>
      <x:c r="G188" s="1"/>
      <x:c r="H188" s="1" t="n">
        <x:v>3.62</x:v>
      </x:c>
      <x:c r="I188" s="1"/>
      <x:c r="J188" s="1"/>
      <x:c r="K188" s="1"/>
      <x:c r="L188" s="1" t="n">
        <x:v>2</x:v>
      </x:c>
      <x:c r="M188" s="1"/>
      <x:c r="N188" s="1" t="n">
        <x:v>10061</x:v>
      </x:c>
      <x:c r="O188" s="1" t="n">
        <x:v>11.12</x:v>
      </x:c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</x:row>
    <x:row r="189">
      <x:c r="A189" s="1" t="n">
        <x:v>23</x:v>
      </x:c>
      <x:c r="B189" s="1" t="str">
        <x:v>2024-7-1</x:v>
      </x:c>
      <x:c r="C189" s="1"/>
      <x:c r="D189" s="1" t="str">
        <x:v>23</x:v>
      </x:c>
      <x:c r="E189" s="1"/>
      <x:c r="F189" s="1"/>
      <x:c r="G189" s="1"/>
      <x:c r="H189" s="1" t="n">
        <x:v>3.99</x:v>
      </x:c>
      <x:c r="I189" s="1"/>
      <x:c r="J189" s="1"/>
      <x:c r="K189" s="1"/>
      <x:c r="L189" s="1" t="n">
        <x:v>2</x:v>
      </x:c>
      <x:c r="M189" s="1" t="str">
        <x:v>-99.0</x:v>
      </x:c>
      <x:c r="N189" s="1" t="n">
        <x:v>10482</x:v>
      </x:c>
      <x:c r="O189" s="1" t="n">
        <x:v>11.96</x:v>
      </x:c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</x:row>
    <x:row r="190">
      <x:c r="A190" s="1" t="n">
        <x:v>23</x:v>
      </x:c>
      <x:c r="B190" s="1" t="str">
        <x:v>24228</x:v>
      </x:c>
      <x:c r="C190" s="1"/>
      <x:c r="D190" s="1" t="str">
        <x:v>23</x:v>
      </x:c>
      <x:c r="E190" s="1" t="str">
        <x:v>-99.0</x:v>
      </x:c>
      <x:c r="F190" s="1"/>
      <x:c r="G190" s="1"/>
      <x:c r="H190" s="1" t="n">
        <x:v>2.61</x:v>
      </x:c>
      <x:c r="I190" s="1"/>
      <x:c r="J190" s="1"/>
      <x:c r="K190" s="1"/>
      <x:c r="L190" s="1" t="n">
        <x:v>2</x:v>
      </x:c>
      <x:c r="M190" s="1"/>
      <x:c r="N190" s="1" t="n">
        <x:v>9464</x:v>
      </x:c>
      <x:c r="O190" s="1" t="n">
        <x:v>9.93</x:v>
      </x:c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</x:row>
    <x:row r="191">
      <x:c r="A191" s="1" t="n">
        <x:v>35</x:v>
      </x:c>
      <x:c r="B191" s="3" t="d">
        <x:v>2025-06-09T00:00:00.000Z</x:v>
      </x:c>
      <x:c r="C191" s="1"/>
      <x:c r="D191" s="1" t="str">
        <x:v>35</x:v>
      </x:c>
      <x:c r="E191" s="1"/>
      <x:c r="F191" s="1" t="n">
        <x:v>2.83</x:v>
      </x:c>
      <x:c r="G191" s="1" t="n">
        <x:v>0.79</x:v>
      </x:c>
      <x:c r="H191" s="1" t="n">
        <x:v>3.62</x:v>
      </x:c>
      <x:c r="I191" s="1"/>
      <x:c r="J191" s="1"/>
      <x:c r="K191" s="1"/>
      <x:c r="L191" s="1" t="n">
        <x:v>1</x:v>
      </x:c>
      <x:c r="M191" s="1"/>
      <x:c r="N191" s="1"/>
      <x:c r="O191" s="1"/>
      <x:c r="P191" s="1" t="str">
        <x:v>-99</x:v>
      </x:c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</x:row>
    <x:row r="192">
      <x:c r="A192" s="1" t="n">
        <x:v>35</x:v>
      </x:c>
      <x:c r="B192" s="1" t="str">
        <x:v> 2025-07-12</x:v>
      </x:c>
      <x:c r="C192" s="1"/>
      <x:c r="D192" s="1" t="str">
        <x:v>35</x:v>
      </x:c>
      <x:c r="E192" s="1"/>
      <x:c r="F192" s="1" t="n">
        <x:v>3.34</x:v>
      </x:c>
      <x:c r="G192" s="1" t="n">
        <x:v>0.65</x:v>
      </x:c>
      <x:c r="H192" s="1" t="n">
        <x:v>3.99</x:v>
      </x:c>
      <x:c r="I192" s="1" t="str">
        <x:v>-99</x:v>
      </x:c>
      <x:c r="J192" s="1"/>
      <x:c r="K192" s="1"/>
      <x:c r="L192" s="1" t="n">
        <x:v>2</x:v>
      </x:c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</x:row>
    <x:row r="193">
      <x:c r="A193" s="1" t="n">
        <x:v>35</x:v>
      </x:c>
      <x:c r="B193" s="1" t="str">
        <x:v>2025-8-19</x:v>
      </x:c>
      <x:c r="C193" s="1"/>
      <x:c r="D193" s="1" t="str">
        <x:v>35</x:v>
      </x:c>
      <x:c r="E193" s="1" t="str">
        <x:v>-99</x:v>
      </x:c>
      <x:c r="F193" s="1" t="n">
        <x:v>2.12</x:v>
      </x:c>
      <x:c r="G193" s="1" t="n">
        <x:v>0.49</x:v>
      </x:c>
      <x:c r="H193" s="1" t="n">
        <x:v>2.61</x:v>
      </x:c>
      <x:c r="I193" s="1"/>
      <x:c r="J193" s="1"/>
      <x:c r="K193" s="1"/>
      <x:c r="L193" s="1" t="n">
        <x:v>2</x:v>
      </x:c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</x:row>
    <x:row r="194">
      <x:c r="A194" s="1" t="n">
        <x:v>47</x:v>
      </x:c>
      <x:c r="B194" s="1" t="str">
        <x:v>26108</x:v>
      </x:c>
      <x:c r="C194" s="1"/>
      <x:c r="D194" s="1" t="str">
        <x:v>47</x:v>
      </x:c>
      <x:c r="E194" s="1" t="n">
        <x:v>67.5</x:v>
      </x:c>
      <x:c r="F194" s="1"/>
      <x:c r="G194" s="1"/>
      <x:c r="H194" s="1" t="n">
        <x:v>3.62</x:v>
      </x:c>
      <x:c r="I194" s="1"/>
      <x:c r="J194" s="1" t="n">
        <x:v>0.93</x:v>
      </x:c>
      <x:c r="K194" s="1"/>
      <x:c r="L194" s="1" t="n">
        <x:v>2</x:v>
      </x:c>
      <x:c r="M194" s="1" t="str">
        <x:v>-99.0</x:v>
      </x:c>
      <x:c r="N194" s="1"/>
      <x:c r="O194" s="1"/>
      <x:c r="P194" s="1" t="str">
        <x:v>-99</x:v>
      </x:c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</x:row>
    <x:row r="195">
      <x:c r="A195" s="1" t="n">
        <x:v>47</x:v>
      </x:c>
      <x:c r="B195" s="3" t="d">
        <x:v>2026-05-26T00:00:00.000Z</x:v>
      </x:c>
      <x:c r="C195" s="1"/>
      <x:c r="D195" s="1" t="str">
        <x:v>47</x:v>
      </x:c>
      <x:c r="E195" s="1" t="n">
        <x:v>58.5</x:v>
      </x:c>
      <x:c r="F195" s="1"/>
      <x:c r="G195" s="1"/>
      <x:c r="H195" s="1" t="n">
        <x:v>3.99</x:v>
      </x:c>
      <x:c r="I195" s="1"/>
      <x:c r="J195" s="1" t="n">
        <x:v>0.88</x:v>
      </x:c>
      <x:c r="K195" s="1"/>
      <x:c r="L195" s="1" t="n">
        <x:v>2</x:v>
      </x:c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</x:row>
    <x:row r="196">
      <x:c r="A196" s="1" t="n">
        <x:v>47</x:v>
      </x:c>
      <x:c r="B196" s="1" t="str">
        <x:v> 2026-07-08</x:v>
      </x:c>
      <x:c r="C196" s="1"/>
      <x:c r="D196" s="1" t="str">
        <x:v>47</x:v>
      </x:c>
      <x:c r="E196" s="1" t="n">
        <x:v>48</x:v>
      </x:c>
      <x:c r="F196" s="1"/>
      <x:c r="G196" s="1"/>
      <x:c r="H196" s="1" t="n">
        <x:v>2.61</x:v>
      </x:c>
      <x:c r="I196" s="1" t="str">
        <x:v>-99</x:v>
      </x:c>
      <x:c r="J196" s="1" t="n">
        <x:v>0.82</x:v>
      </x:c>
      <x:c r="K196" s="1"/>
      <x:c r="L196" s="1" t="n">
        <x:v>2</x:v>
      </x:c>
      <x:c r="M196" s="1"/>
      <x:c r="N196" s="1"/>
      <x:c r="O196" s="1" t="str">
        <x:v>-99.0</x:v>
      </x:c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</x:row>
    <x:row r="197">
      <x:c r="A197" s="1" t="n">
        <x:v>17</x:v>
      </x:c>
      <x:c r="B197" s="1" t="str">
        <x:v>2023-4-9</x:v>
      </x:c>
      <x:c r="C197" s="1"/>
      <x:c r="D197" s="1" t="str">
        <x:v>17</x:v>
      </x:c>
      <x:c r="E197" s="1"/>
      <x:c r="F197" s="1" t="str">
        <x:v>-99</x:v>
      </x:c>
      <x:c r="G197" s="1"/>
      <x:c r="H197" s="1" t="n">
        <x:v>3.62</x:v>
      </x:c>
      <x:c r="I197" s="1"/>
      <x:c r="J197" s="1"/>
      <x:c r="K197" s="1" t="str">
        <x:v>-99.0</x:v>
      </x:c>
      <x:c r="L197" s="1" t="n">
        <x:v>2</x:v>
      </x:c>
      <x:c r="M197" s="1" t="str">
        <x:v>-99.0</x:v>
      </x:c>
      <x:c r="N197" s="1" t="n">
        <x:v>10061</x:v>
      </x:c>
      <x:c r="O197" s="1" t="n">
        <x:v>11.12</x:v>
      </x:c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</x:row>
    <x:row r="198">
      <x:c r="A198" s="1" t="n">
        <x:v>17</x:v>
      </x:c>
      <x:c r="B198" s="1" t="str">
        <x:v>23135</x:v>
      </x:c>
      <x:c r="C198" s="1"/>
      <x:c r="D198" s="1" t="str">
        <x:v>17</x:v>
      </x:c>
      <x:c r="E198" s="1"/>
      <x:c r="F198" s="1"/>
      <x:c r="G198" s="1"/>
      <x:c r="H198" s="1" t="n">
        <x:v>3.99</x:v>
      </x:c>
      <x:c r="I198" s="1"/>
      <x:c r="J198" s="1"/>
      <x:c r="K198" s="1"/>
      <x:c r="L198" s="1" t="n">
        <x:v>2</x:v>
      </x:c>
      <x:c r="M198" s="1"/>
      <x:c r="N198" s="1" t="n">
        <x:v>10482</x:v>
      </x:c>
      <x:c r="O198" s="1" t="n">
        <x:v>11.96</x:v>
      </x:c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</x:row>
    <x:row r="199">
      <x:c r="A199" s="1" t="n">
        <x:v>17</x:v>
      </x:c>
      <x:c r="B199" s="3" t="d">
        <x:v>2023-06-26T00:00:00.000Z</x:v>
      </x:c>
      <x:c r="C199" s="1"/>
      <x:c r="D199" s="1" t="str">
        <x:v>17</x:v>
      </x:c>
      <x:c r="E199" s="1"/>
      <x:c r="F199" s="1"/>
      <x:c r="G199" s="1"/>
      <x:c r="H199" s="1" t="n">
        <x:v>2.61</x:v>
      </x:c>
      <x:c r="I199" s="1"/>
      <x:c r="J199" s="1"/>
      <x:c r="K199" s="1"/>
      <x:c r="L199" s="1" t="n">
        <x:v>2</x:v>
      </x:c>
      <x:c r="M199" s="1"/>
      <x:c r="N199" s="1" t="n">
        <x:v>9464</x:v>
      </x:c>
      <x:c r="O199" s="1" t="n">
        <x:v>9.93</x:v>
      </x:c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</x:row>
    <x:row r="200">
      <x:c r="A200" s="1" t="n">
        <x:v>29</x:v>
      </x:c>
      <x:c r="B200" s="1" t="str">
        <x:v> 2024-05-22</x:v>
      </x:c>
      <x:c r="C200" s="1"/>
      <x:c r="D200" s="1" t="str">
        <x:v>29</x:v>
      </x:c>
      <x:c r="E200" s="1"/>
      <x:c r="F200" s="1" t="n">
        <x:v>2.83</x:v>
      </x:c>
      <x:c r="G200" s="1" t="n">
        <x:v>0.79</x:v>
      </x:c>
      <x:c r="H200" s="1" t="n">
        <x:v>3.62</x:v>
      </x:c>
      <x:c r="I200" s="1"/>
      <x:c r="J200" s="1" t="str">
        <x:v>-99</x:v>
      </x:c>
      <x:c r="K200" s="1"/>
      <x:c r="L200" s="1" t="n">
        <x:v>2</x:v>
      </x:c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</x:row>
    <x:row r="201">
      <x:c r="A201" s="1" t="n">
        <x:v>29</x:v>
      </x:c>
      <x:c r="B201" s="1" t="str">
        <x:v>2024-7-1</x:v>
      </x:c>
      <x:c r="C201" s="1"/>
      <x:c r="D201" s="1" t="str">
        <x:v>29</x:v>
      </x:c>
      <x:c r="E201" s="1"/>
      <x:c r="F201" s="1" t="n">
        <x:v>3.34</x:v>
      </x:c>
      <x:c r="G201" s="1" t="n">
        <x:v>0.65</x:v>
      </x:c>
      <x:c r="H201" s="1" t="n">
        <x:v>3.99</x:v>
      </x:c>
      <x:c r="I201" s="1"/>
      <x:c r="J201" s="1" t="str">
        <x:v>-99.0</x:v>
      </x:c>
      <x:c r="K201" s="1"/>
      <x:c r="L201" s="1"/>
      <x:c r="M201" s="1" t="n">
        <x:v>2</x:v>
      </x:c>
      <x:c r="N201" s="1"/>
      <x:c r="O201" s="1"/>
      <x:c r="P201" s="1"/>
      <x:c r="Q201" s="1" t="str">
        <x:v>-99</x:v>
      </x:c>
      <x:c r="R201" s="1"/>
      <x:c r="S201" s="1"/>
      <x:c r="T201" s="1"/>
      <x:c r="U201" s="1"/>
      <x:c r="V201" s="1"/>
      <x:c r="W201" s="1"/>
      <x:c r="X201" s="1"/>
      <x:c r="Y201" s="1"/>
      <x:c r="Z201" s="1"/>
      <x:c r="AA201" s="1"/>
      <x:c r="AB201" s="1"/>
      <x:c r="AC201" s="1"/>
    </x:row>
    <x:row r="202">
      <x:c r="A202" s="1" t="n">
        <x:v>29</x:v>
      </x:c>
      <x:c r="B202" s="1" t="str">
        <x:v>24228</x:v>
      </x:c>
      <x:c r="C202" s="1"/>
      <x:c r="D202" s="1" t="str">
        <x:v>29</x:v>
      </x:c>
      <x:c r="E202" s="1"/>
      <x:c r="F202" s="1" t="n">
        <x:v>2.12</x:v>
      </x:c>
      <x:c r="G202" s="1" t="n">
        <x:v>0.49</x:v>
      </x:c>
      <x:c r="H202" s="1" t="n">
        <x:v>2.61</x:v>
      </x:c>
      <x:c r="I202" s="1"/>
      <x:c r="J202" s="1" t="str">
        <x:v>-99</x:v>
      </x:c>
      <x:c r="K202" s="1" t="str">
        <x:v>-99</x:v>
      </x:c>
      <x:c r="L202" s="1" t="n">
        <x:v>2</x:v>
      </x:c>
      <x:c r="M202" s="1"/>
      <x:c r="N202" s="1" t="str">
        <x:v>-99.0</x:v>
      </x:c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  <x:c r="AA202" s="1"/>
      <x:c r="AB202" s="1"/>
      <x:c r="AC202" s="1"/>
    </x:row>
    <x:row r="203">
      <x:c r="A203" s="1" t="n">
        <x:v>41</x:v>
      </x:c>
      <x:c r="B203" s="3" t="d">
        <x:v>2025-06-09T00:00:00.000Z</x:v>
      </x:c>
      <x:c r="C203" s="1"/>
      <x:c r="D203" s="1" t="str">
        <x:v>41</x:v>
      </x:c>
      <x:c r="E203" s="1" t="n">
        <x:v>67.5</x:v>
      </x:c>
      <x:c r="F203" s="1"/>
      <x:c r="G203" s="1"/>
      <x:c r="H203" s="1" t="n">
        <x:v>3.62</x:v>
      </x:c>
      <x:c r="I203" s="1"/>
      <x:c r="J203" s="1" t="n">
        <x:v>0.93</x:v>
      </x:c>
      <x:c r="K203" s="1"/>
      <x:c r="L203" s="1" t="n">
        <x:v>1</x:v>
      </x:c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  <x:c r="AA203" s="1"/>
      <x:c r="AB203" s="1"/>
      <x:c r="AC203" s="1"/>
    </x:row>
    <x:row r="204">
      <x:c r="A204" s="1" t="n">
        <x:v>41</x:v>
      </x:c>
      <x:c r="B204" s="1" t="str">
        <x:v> 2025-07-12</x:v>
      </x:c>
      <x:c r="C204" s="1"/>
      <x:c r="D204" s="1" t="str">
        <x:v>41</x:v>
      </x:c>
      <x:c r="E204" s="1" t="n">
        <x:v>58.5</x:v>
      </x:c>
      <x:c r="F204" s="1"/>
      <x:c r="G204" s="1"/>
      <x:c r="H204" s="1" t="n">
        <x:v>3.99</x:v>
      </x:c>
      <x:c r="I204" s="1"/>
      <x:c r="J204" s="1" t="n">
        <x:v>0.88</x:v>
      </x:c>
      <x:c r="K204" s="1"/>
      <x:c r="L204" s="1" t="n">
        <x:v>2</x:v>
      </x:c>
      <x:c r="M204" s="1" t="str">
        <x:v>-99</x:v>
      </x:c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  <x:c r="AA204" s="1"/>
      <x:c r="AB204" s="1"/>
      <x:c r="AC204" s="1"/>
    </x:row>
    <x:row r="205">
      <x:c r="A205" s="1" t="n">
        <x:v>41</x:v>
      </x:c>
      <x:c r="B205" s="1" t="str">
        <x:v>2025-8-19</x:v>
      </x:c>
      <x:c r="C205" s="1"/>
      <x:c r="D205" s="1" t="str">
        <x:v>41</x:v>
      </x:c>
      <x:c r="E205" s="1" t="n">
        <x:v>48</x:v>
      </x:c>
      <x:c r="F205" s="1"/>
      <x:c r="G205" s="1"/>
      <x:c r="H205" s="1" t="n">
        <x:v>2.61</x:v>
      </x:c>
      <x:c r="I205" s="1"/>
      <x:c r="J205" s="1" t="n">
        <x:v>0.82</x:v>
      </x:c>
      <x:c r="K205" s="1"/>
      <x:c r="L205" s="1" t="n">
        <x:v>2</x:v>
      </x:c>
      <x:c r="M205" s="1" t="str">
        <x:v>-99</x:v>
      </x:c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  <x:c r="AA205" s="1"/>
      <x:c r="AB205" s="1"/>
      <x:c r="AC205" s="1"/>
    </x:row>
    <x:row r="206">
      <x:c r="A206" s="1" t="n">
        <x:v>53</x:v>
      </x:c>
      <x:c r="B206" s="1" t="str">
        <x:v>26108</x:v>
      </x:c>
      <x:c r="C206" s="1"/>
      <x:c r="D206" s="1" t="str">
        <x:v>53</x:v>
      </x:c>
      <x:c r="E206" s="1"/>
      <x:c r="F206" s="1"/>
      <x:c r="G206" s="1"/>
      <x:c r="H206" s="1" t="n">
        <x:v>3.62</x:v>
      </x:c>
      <x:c r="I206" s="1"/>
      <x:c r="J206" s="1"/>
      <x:c r="K206" s="1"/>
      <x:c r="L206" s="1" t="n">
        <x:v>2</x:v>
      </x:c>
      <x:c r="M206" s="1"/>
      <x:c r="N206" s="1" t="n">
        <x:v>10061</x:v>
      </x:c>
      <x:c r="O206" s="1" t="n">
        <x:v>11.12</x:v>
      </x:c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  <x:c r="AA206" s="1"/>
      <x:c r="AB206" s="1"/>
      <x:c r="AC206" s="1"/>
    </x:row>
    <x:row r="207">
      <x:c r="A207" s="1" t="n">
        <x:v>53</x:v>
      </x:c>
      <x:c r="B207" s="3" t="d">
        <x:v>2026-05-26T00:00:00.000Z</x:v>
      </x:c>
      <x:c r="C207" s="1"/>
      <x:c r="D207" s="1" t="str">
        <x:v>53</x:v>
      </x:c>
      <x:c r="E207" s="1"/>
      <x:c r="F207" s="1"/>
      <x:c r="G207" s="1"/>
      <x:c r="H207" s="1" t="n">
        <x:v>3.99</x:v>
      </x:c>
      <x:c r="I207" s="1"/>
      <x:c r="J207" s="1"/>
      <x:c r="K207" s="1"/>
      <x:c r="L207" s="1" t="n">
        <x:v>2</x:v>
      </x:c>
      <x:c r="M207" s="1"/>
      <x:c r="N207" s="1" t="n">
        <x:v>10482</x:v>
      </x:c>
      <x:c r="O207" s="1" t="n">
        <x:v>11.96</x:v>
      </x:c>
      <x:c r="P207" s="1" t="str">
        <x:v>-99</x:v>
      </x:c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  <x:c r="AA207" s="1"/>
      <x:c r="AB207" s="1"/>
      <x:c r="AC207" s="1"/>
    </x:row>
    <x:row r="208">
      <x:c r="A208" s="1" t="n">
        <x:v>53</x:v>
      </x:c>
      <x:c r="B208" s="1" t="str">
        <x:v> 2026-07-08</x:v>
      </x:c>
      <x:c r="C208" s="1"/>
      <x:c r="D208" s="1" t="str">
        <x:v>53</x:v>
      </x:c>
      <x:c r="E208" s="1"/>
      <x:c r="F208" s="1"/>
      <x:c r="G208" s="1"/>
      <x:c r="H208" s="1" t="n">
        <x:v>2.61</x:v>
      </x:c>
      <x:c r="I208" s="1"/>
      <x:c r="J208" s="1"/>
      <x:c r="K208" s="1" t="str">
        <x:v>-99</x:v>
      </x:c>
      <x:c r="L208" s="1" t="n">
        <x:v>2</x:v>
      </x:c>
      <x:c r="M208" s="1"/>
      <x:c r="N208" s="1" t="n">
        <x:v>9464</x:v>
      </x:c>
      <x:c r="O208" s="1" t="n">
        <x:v>9.93</x:v>
      </x:c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  <x:c r="AA208" s="1"/>
      <x:c r="AB208" s="1"/>
      <x:c r="AC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  <x:c r="AA209" s="1"/>
      <x:c r="AB209" s="1"/>
      <x:c r="AC209" s="1"/>
    </x:row>
    <x:row r="210">
      <x:c r="A210" s="1" t="str">
        <x:v>! Section</x:v>
      </x:c>
      <x:c r="B210" s="1" t="str">
        <x:v>Planting_events</x:v>
      </x:c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  <x:c r="AA210" s="1"/>
      <x:c r="AB210" s="1"/>
      <x:c r="AC210" s="1"/>
    </x:row>
    <x:row r="211">
      <x:c r="A211" s="1" t="str">
        <x:v>! Definitions</x:v>
      </x:c>
      <x:c r="B211" s="1" t="str">
        <x:v>Transplant age</x:v>
      </x:c>
      <x:c r="C211" s="1"/>
      <x:c r="D211" s="1" t="str">
        <x:v>Plants per hill</x:v>
      </x:c>
      <x:c r="E211" s="1" t="str">
        <x:v>Distance between two adjacent rows</x:v>
      </x:c>
      <x:c r="F211" s="1" t="str">
        <x:v>Planting distribution</x:v>
      </x:c>
      <x:c r="G211" s="1" t="str">
        <x:v>Planting method</x:v>
      </x:c>
      <x:c r="H211" s="1" t="str">
        <x:v>Planting material</x:v>
      </x:c>
      <x:c r="I211" s="1" t="str">
        <x:v>Plant population at planting</x:v>
      </x:c>
      <x:c r="J211" s="1" t="str">
        <x:v>Transplant date; use YYYY-MM-DD.</x:v>
      </x:c>
      <x:c r="K211" s="1" t="str">
        <x:v>Unique identifier for a planting treatment</x:v>
      </x:c>
      <x:c r="L211" s="1" t="str">
        <x:v>Planting or sowing date; use YYYY-MM-DD.</x:v>
      </x:c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  <x:c r="AA211" s="1"/>
      <x:c r="AB211" s="1"/>
      <x:c r="AC211" s="1"/>
    </x:row>
    <x:row r="212">
      <x:c r="A212" s="1" t="str">
        <x:v>! Units</x:v>
      </x:c>
      <x:c r="B212" s="1" t="str">
        <x:v>day</x:v>
      </x:c>
      <x:c r="C212" s="1"/>
      <x:c r="D212" s="1" t="str">
        <x:v>number</x:v>
      </x:c>
      <x:c r="E212" s="1" t="str">
        <x:v>cm</x:v>
      </x:c>
      <x:c r="F212" s="1" t="str">
        <x:v>code</x:v>
      </x:c>
      <x:c r="G212" s="1" t="str">
        <x:v>code</x:v>
      </x:c>
      <x:c r="H212" s="1" t="str">
        <x:v>code</x:v>
      </x:c>
      <x:c r="I212" s="1" t="str">
        <x:v>number/m2</x:v>
      </x:c>
      <x:c r="J212" s="1" t="str">
        <x:v>date</x:v>
      </x:c>
      <x:c r="K212" s="1" t="str">
        <x:v>text</x:v>
      </x:c>
      <x:c r="L212" s="1" t="str">
        <x:v>date</x:v>
      </x:c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  <x:c r="AA212" s="1"/>
      <x:c r="AB212" s="1"/>
      <x:c r="AC212" s="1"/>
    </x:row>
    <x:row r="213">
      <x:c r="A213" s="2" t="str">
        <x:v>%</x:v>
      </x:c>
      <x:c r="B213" s="2" t="str">
        <x:v> PDGN </x:v>
      </x:c>
      <x:c r="C213" s="2"/>
      <x:c r="D213" s="2" t="str">
        <x:v>plph</x:v>
      </x:c>
      <x:c r="E213" s="2" t="str">
        <x:v>PLRS</x:v>
      </x:c>
      <x:c r="F213" s="2" t="str">
        <x:v>PLDS</x:v>
      </x:c>
      <x:c r="G213" s="2" t="str">
        <x:v>plme</x:v>
      </x:c>
      <x:c r="H213" s="2" t="str">
        <x:v> PLMA </x:v>
      </x:c>
      <x:c r="I213" s="2" t="str">
        <x:v>PLPOP</x:v>
      </x:c>
      <x:c r="J213" s="2" t="str">
        <x:v>trdate</x:v>
      </x:c>
      <x:c r="K213" s="2" t="str">
        <x:v>PLTTRTID</x:v>
      </x:c>
      <x:c r="L213" s="2" t="str">
        <x:v>PDATE</x:v>
      </x:c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</x:row>
    <x:row r="214">
      <x:c r="A214" s="1" t="n">
        <x:v>11</x:v>
      </x:c>
      <x:c r="B214" s="1"/>
      <x:c r="C214" s="1"/>
      <x:c r="D214" s="1" t="str">
        <x:v>-99.0</x:v>
      </x:c>
      <x:c r="E214" s="1" t="n">
        <x:v>20</x:v>
      </x:c>
      <x:c r="F214" s="1"/>
      <x:c r="G214" s="1" t="str">
        <x:v>SD</x:v>
      </x:c>
      <x:c r="H214" s="1"/>
      <x:c r="I214" s="1"/>
      <x:c r="J214" s="1"/>
      <x:c r="K214" s="1" t="str">
        <x:v>S0097</x:v>
      </x:c>
      <x:c r="L214" s="1" t="str">
        <x:v>2023-3-10</x:v>
      </x:c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  <x:c r="AA214" s="1"/>
      <x:c r="AB214" s="1"/>
      <x:c r="AC214" s="1"/>
    </x:row>
    <x:row r="215">
      <x:c r="A215" s="1" t="n">
        <x:v>17</x:v>
      </x:c>
      <x:c r="B215" s="1"/>
      <x:c r="C215" s="1"/>
      <x:c r="D215" s="1"/>
      <x:c r="E215" s="1" t="n">
        <x:v>20</x:v>
      </x:c>
      <x:c r="F215" s="1"/>
      <x:c r="G215" s="1" t="str">
        <x:v>SD</x:v>
      </x:c>
      <x:c r="H215" s="1"/>
      <x:c r="I215" s="1"/>
      <x:c r="J215" s="1"/>
      <x:c r="K215" s="1" t="str">
        <x:v>S0097</x:v>
      </x:c>
      <x:c r="L215" s="1" t="str">
        <x:v>23069</x:v>
      </x:c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  <x:c r="AA215" s="1"/>
      <x:c r="AB215" s="1"/>
      <x:c r="AC215" s="1"/>
    </x:row>
    <x:row r="216">
      <x:c r="A216" s="1" t="n">
        <x:v>23</x:v>
      </x:c>
      <x:c r="B216" s="1"/>
      <x:c r="C216" s="1"/>
      <x:c r="D216" s="1"/>
      <x:c r="E216" s="1" t="n">
        <x:v>75</x:v>
      </x:c>
      <x:c r="F216" s="1"/>
      <x:c r="G216" s="1" t="str">
        <x:v>PP</x:v>
      </x:c>
      <x:c r="H216" s="1" t="str">
        <x:v>N/A</x:v>
      </x:c>
      <x:c r="I216" s="1" t="n">
        <x:v>8</x:v>
      </x:c>
      <x:c r="J216" s="1"/>
      <x:c r="K216" s="1" t="str">
        <x:v>S0098</x:v>
      </x:c>
      <x:c r="L216" s="3" t="d">
        <x:v>2024-04-20T00:00:00.000Z</x:v>
      </x:c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  <x:c r="AA216" s="1"/>
      <x:c r="AB216" s="1"/>
      <x:c r="AC216" s="1"/>
    </x:row>
    <x:row r="217">
      <x:c r="A217" s="1" t="n">
        <x:v>29</x:v>
      </x:c>
      <x:c r="B217" s="1"/>
      <x:c r="C217" s="1"/>
      <x:c r="D217" s="1"/>
      <x:c r="E217" s="1" t="n">
        <x:v>75</x:v>
      </x:c>
      <x:c r="F217" s="1"/>
      <x:c r="G217" s="1" t="str">
        <x:v>PP</x:v>
      </x:c>
      <x:c r="H217" s="1"/>
      <x:c r="I217" s="1" t="n">
        <x:v>8</x:v>
      </x:c>
      <x:c r="J217" s="1"/>
      <x:c r="K217" s="1" t="str">
        <x:v>S0098</x:v>
      </x:c>
      <x:c r="L217" s="1" t="str">
        <x:v> 2024-04-20</x:v>
      </x:c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  <x:c r="AA217" s="1"/>
      <x:c r="AB217" s="1"/>
      <x:c r="AC217" s="1"/>
    </x:row>
    <x:row r="218">
      <x:c r="A218" s="1" t="n">
        <x:v>35</x:v>
      </x:c>
      <x:c r="B218" s="1"/>
      <x:c r="C218" s="1"/>
      <x:c r="D218" s="1"/>
      <x:c r="E218" s="1" t="n">
        <x:v>50</x:v>
      </x:c>
      <x:c r="F218" s="1" t="str">
        <x:v>RB</x:v>
      </x:c>
      <x:c r="G218" s="1" t="str">
        <x:v>PL</x:v>
      </x:c>
      <x:c r="H218" s="1"/>
      <x:c r="I218" s="1"/>
      <x:c r="J218" s="1"/>
      <x:c r="K218" s="1" t="str">
        <x:v>S0099</x:v>
      </x:c>
      <x:c r="L218" s="1" t="str">
        <x:v>2025-5-12</x:v>
      </x:c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  <x:c r="AA218" s="1"/>
      <x:c r="AB218" s="1"/>
      <x:c r="AC218" s="1"/>
    </x:row>
    <x:row r="219">
      <x:c r="A219" s="1" t="n">
        <x:v>41</x:v>
      </x:c>
      <x:c r="B219" s="1"/>
      <x:c r="C219" s="1"/>
      <x:c r="D219" s="1"/>
      <x:c r="E219" s="1" t="n">
        <x:v>50</x:v>
      </x:c>
      <x:c r="F219" s="1" t="str">
        <x:v>RB</x:v>
      </x:c>
      <x:c r="G219" s="1" t="str">
        <x:v>PL</x:v>
      </x:c>
      <x:c r="H219" s="1"/>
      <x:c r="I219" s="1" t="str">
        <x:v>-99.0</x:v>
      </x:c>
      <x:c r="J219" s="1"/>
      <x:c r="K219" s="1" t="str">
        <x:v>S0099</x:v>
      </x:c>
      <x:c r="L219" s="1" t="str">
        <x:v>25132</x:v>
      </x:c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  <x:c r="AA219" s="1"/>
      <x:c r="AB219" s="1"/>
      <x:c r="AC219" s="1"/>
    </x:row>
    <x:row r="220">
      <x:c r="A220" s="1" t="n">
        <x:v>47</x:v>
      </x:c>
      <x:c r="B220" s="1"/>
      <x:c r="C220" s="1"/>
      <x:c r="D220" s="1"/>
      <x:c r="E220" s="1"/>
      <x:c r="F220" s="1"/>
      <x:c r="G220" s="1" t="str">
        <x:v>BR</x:v>
      </x:c>
      <x:c r="H220" s="1"/>
      <x:c r="I220" s="1" t="n">
        <x:v>350</x:v>
      </x:c>
      <x:c r="J220" s="1"/>
      <x:c r="K220" s="1" t="str">
        <x:v>S0100</x:v>
      </x:c>
      <x:c r="L220" s="3" t="d">
        <x:v>2026-03-18T00:00:00.000Z</x:v>
      </x:c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  <x:c r="AA220" s="1"/>
      <x:c r="AB220" s="1"/>
      <x:c r="AC220" s="1"/>
    </x:row>
    <x:row r="221">
      <x:c r="A221" s="1" t="n">
        <x:v>53</x:v>
      </x:c>
      <x:c r="B221" s="1"/>
      <x:c r="C221" s="1"/>
      <x:c r="D221" s="1"/>
      <x:c r="E221" s="1"/>
      <x:c r="F221" s="1" t="str">
        <x:v>N/A</x:v>
      </x:c>
      <x:c r="G221" s="1" t="str">
        <x:v>BR</x:v>
      </x:c>
      <x:c r="H221" s="1"/>
      <x:c r="I221" s="1" t="n">
        <x:v>350</x:v>
      </x:c>
      <x:c r="J221" s="1"/>
      <x:c r="K221" s="1" t="str">
        <x:v>S0100</x:v>
      </x:c>
      <x:c r="L221" s="1" t="str">
        <x:v> 2026-03-18</x:v>
      </x:c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  <x:c r="AA221" s="1"/>
      <x:c r="AB221" s="1"/>
      <x:c r="AC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  <x:c r="AA222" s="1"/>
      <x:c r="AB222" s="1"/>
      <x:c r="AC222" s="1"/>
    </x:row>
    <x:row r="223">
      <x:c r="A223" s="1" t="str">
        <x:v>! Section</x:v>
      </x:c>
      <x:c r="B223" s="1" t="str">
        <x:v>Soil_layer_observations_summary</x:v>
      </x:c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  <x:c r="AA223" s="1"/>
      <x:c r="AB223" s="1"/>
      <x:c r="AC223" s="1"/>
    </x:row>
    <x:row r="224">
      <x:c r="A224" s="1" t="str">
        <x:v>! Definitions</x:v>
      </x:c>
      <x:c r="B224" s="1" t="str">
        <x:v>Soil layer depth to upper boundary of sample (top)</x:v>
      </x:c>
      <x:c r="C224" s="1"/>
      <x:c r="D224" s="1" t="str">
        <x:v>Soil layer depth to lower boundary of sample (bottom)</x:v>
      </x:c>
      <x:c r="E224" s="1" t="str">
        <x:v>One or more represented plot_season_id values for this observation or layer row. The row's plot_season_id must be included; use a single ID for a single plot-season; use multiple IDs only for a broader observation. The API stores the trimmed, duplicate-free list in lexicographic order. The canonical group list is part of this summary table logical key.</x:v>
      </x:c>
      <x:c r="F224" s="1" t="str">
        <x:v>Soil bulk density, moist, determined on field sample</x:v>
      </x:c>
      <x:c r="G224" s="1" t="str">
        <x:v>Organic carbon expressed as g[C]/100 g[soil]</x:v>
      </x:c>
      <x:c r="H224" s="1" t="str">
        <x:v>Nitrogen, total soil, total</x:v>
      </x:c>
      <x:c r="I224" s="1" t="str">
        <x:v>pH of soil in water, from in-field sample</x:v>
      </x:c>
      <x:c r="J224" s="1" t="str">
        <x:v>Soil water, extractable at maturity</x:v>
      </x:c>
      <x:c r="K224" s="1" t="str">
        <x:v>N, inorganic, in soil at harvest maturity</x:v>
      </x:c>
      <x:c r="L224" s="1" t="str">
        <x:v>N leached up to harvest maturity, from bottom of soil profile</x:v>
      </x:c>
      <x:c r="M224" s="1" t="str">
        <x:v>N uptake during season</x:v>
      </x:c>
      <x:c r="N224" s="1" t="str">
        <x:v>Soil P at maturity</x:v>
      </x:c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  <x:c r="AA224" s="1"/>
      <x:c r="AB224" s="1"/>
      <x:c r="AC224" s="1"/>
    </x:row>
    <x:row r="225">
      <x:c r="A225" s="1" t="str">
        <x:v>! Units</x:v>
      </x:c>
      <x:c r="B225" s="1" t="str">
        <x:v>cm</x:v>
      </x:c>
      <x:c r="C225" s="1"/>
      <x:c r="D225" s="1" t="str">
        <x:v>cm</x:v>
      </x:c>
      <x:c r="E225" s="1" t="str">
        <x:v>text</x:v>
      </x:c>
      <x:c r="F225" s="1" t="str">
        <x:v>g/cm3</x:v>
      </x:c>
      <x:c r="G225" s="1" t="str">
        <x:v>%</x:v>
      </x:c>
      <x:c r="H225" s="1" t="str">
        <x:v>%</x:v>
      </x:c>
      <x:c r="I225" s="1" t="str">
        <x:v>number</x:v>
      </x:c>
      <x:c r="J225" s="1" t="str">
        <x:v>mm</x:v>
      </x:c>
      <x:c r="K225" s="1" t="str">
        <x:v>kg/ha</x:v>
      </x:c>
      <x:c r="L225" s="1" t="str">
        <x:v>kg/ha</x:v>
      </x:c>
      <x:c r="M225" s="1" t="str">
        <x:v>kg/ha</x:v>
      </x:c>
      <x:c r="N225" s="1" t="str">
        <x:v>kg/ha</x:v>
      </x:c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  <x:c r="AA225" s="1"/>
      <x:c r="AB225" s="1"/>
      <x:c r="AC225" s="1"/>
    </x:row>
    <x:row r="226">
      <x:c r="A226" s="2" t="str">
        <x:v>%</x:v>
      </x:c>
      <x:c r="B226" s="2" t="str">
        <x:v>SLDUB</x:v>
      </x:c>
      <x:c r="C226" s="2"/>
      <x:c r="D226" s="2" t="str">
        <x:v>SLDLB</x:v>
      </x:c>
      <x:c r="E226" s="2" t="str">
        <x:v>grppls</x:v>
      </x:c>
      <x:c r="F226" s="2" t="str">
        <x:v>SABDM</x:v>
      </x:c>
      <x:c r="G226" s="2" t="str">
        <x:v> SAOC </x:v>
      </x:c>
      <x:c r="H226" s="2" t="str">
        <x:v>asni</x:v>
      </x:c>
      <x:c r="I226" s="2" t="str">
        <x:v>SAPHW</x:v>
      </x:c>
      <x:c r="J226" s="2" t="str">
        <x:v>SWXM</x:v>
      </x:c>
      <x:c r="K226" s="2" t="str">
        <x:v>niam</x:v>
      </x:c>
      <x:c r="L226" s="2" t="str">
        <x:v> NLCM </x:v>
      </x:c>
      <x:c r="M226" s="2" t="str">
        <x:v>NUCM</x:v>
      </x:c>
      <x:c r="N226" s="2" t="str">
        <x:v>slpam</x:v>
      </x:c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</x:row>
    <x:row r="227">
      <x:c r="A227" s="1" t="n">
        <x:v>11</x:v>
      </x:c>
      <x:c r="B227" s="1"/>
      <x:c r="C227" s="1"/>
      <x:c r="D227" s="1"/>
      <x:c r="E227" s="1" t="str">
        <x:v>11</x:v>
      </x:c>
      <x:c r="F227" s="1"/>
      <x:c r="G227" s="1"/>
      <x:c r="H227" s="1"/>
      <x:c r="I227" s="1"/>
      <x:c r="J227" s="1" t="n">
        <x:v>45</x:v>
      </x:c>
      <x:c r="K227" s="1" t="n">
        <x:v>34</x:v>
      </x:c>
      <x:c r="L227" s="1"/>
      <x:c r="M227" s="1" t="n">
        <x:v>114</x:v>
      </x:c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  <x:c r="AA227" s="1"/>
      <x:c r="AB227" s="1"/>
      <x:c r="AC227" s="1"/>
    </x:row>
    <x:row r="228">
      <x:c r="A228" s="1" t="n">
        <x:v>23</x:v>
      </x:c>
      <x:c r="B228" s="1"/>
      <x:c r="C228" s="1"/>
      <x:c r="D228" s="1" t="str">
        <x:v>-99.0</x:v>
      </x:c>
      <x:c r="E228" s="1" t="str">
        <x:v>23</x:v>
      </x:c>
      <x:c r="F228" s="1"/>
      <x:c r="G228" s="1"/>
      <x:c r="H228" s="1"/>
      <x:c r="I228" s="1"/>
      <x:c r="J228" s="1"/>
      <x:c r="K228" s="1" t="n">
        <x:v>37</x:v>
      </x:c>
      <x:c r="L228" s="1"/>
      <x:c r="M228" s="1"/>
      <x:c r="N228" s="1" t="n">
        <x:v>36</x:v>
      </x:c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  <x:c r="AA228" s="1"/>
      <x:c r="AB228" s="1"/>
      <x:c r="AC228" s="1"/>
    </x:row>
    <x:row r="229">
      <x:c r="A229" s="1" t="n">
        <x:v>35</x:v>
      </x:c>
      <x:c r="B229" s="1"/>
      <x:c r="C229" s="1"/>
      <x:c r="D229" s="1"/>
      <x:c r="E229" s="1" t="str">
        <x:v>35</x:v>
      </x:c>
      <x:c r="F229" s="1"/>
      <x:c r="G229" s="1"/>
      <x:c r="H229" s="1"/>
      <x:c r="I229" s="1"/>
      <x:c r="J229" s="1" t="n">
        <x:v>53</x:v>
      </x:c>
      <x:c r="K229" s="1" t="n">
        <x:v>22</x:v>
      </x:c>
      <x:c r="L229" s="1" t="n">
        <x:v>5.2</x:v>
      </x:c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  <x:c r="AA229" s="1"/>
      <x:c r="AB229" s="1"/>
      <x:c r="AC229" s="1"/>
    </x:row>
    <x:row r="230">
      <x:c r="A230" s="1" t="n">
        <x:v>47</x:v>
      </x:c>
      <x:c r="B230" s="1"/>
      <x:c r="C230" s="1"/>
      <x:c r="D230" s="1"/>
      <x:c r="E230" s="1" t="str">
        <x:v>47</x:v>
      </x:c>
      <x:c r="F230" s="1"/>
      <x:c r="G230" s="1" t="str">
        <x:v>-99</x:v>
      </x:c>
      <x:c r="H230" s="1"/>
      <x:c r="I230" s="1"/>
      <x:c r="J230" s="1"/>
      <x:c r="K230" s="1" t="n">
        <x:v>25</x:v>
      </x:c>
      <x:c r="L230" s="1"/>
      <x:c r="M230" s="1" t="n">
        <x:v>90</x:v>
      </x:c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  <x:c r="AA230" s="1"/>
      <x:c r="AB230" s="1"/>
      <x:c r="AC230" s="1"/>
    </x:row>
    <x:row r="231">
      <x:c r="A231" s="1" t="n">
        <x:v>17</x:v>
      </x:c>
      <x:c r="B231" s="1"/>
      <x:c r="C231" s="1"/>
      <x:c r="D231" s="1"/>
      <x:c r="E231" s="1" t="str">
        <x:v>17</x:v>
      </x:c>
      <x:c r="F231" s="1"/>
      <x:c r="G231" s="1"/>
      <x:c r="H231" s="1"/>
      <x:c r="I231" s="1" t="str">
        <x:v>-99</x:v>
      </x:c>
      <x:c r="J231" s="1" t="n">
        <x:v>49</x:v>
      </x:c>
      <x:c r="K231" s="1" t="n">
        <x:v>28</x:v>
      </x:c>
      <x:c r="L231" s="1"/>
      <x:c r="M231" s="1"/>
      <x:c r="N231" s="1" t="n">
        <x:v>36</x:v>
      </x:c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  <x:c r="AA231" s="1"/>
      <x:c r="AB231" s="1"/>
      <x:c r="AC231" s="1"/>
    </x:row>
    <x:row r="232">
      <x:c r="A232" s="1" t="n">
        <x:v>29</x:v>
      </x:c>
      <x:c r="B232" s="1"/>
      <x:c r="C232" s="1"/>
      <x:c r="D232" s="1" t="str">
        <x:v>-99.0</x:v>
      </x:c>
      <x:c r="E232" s="1" t="str">
        <x:v>29</x:v>
      </x:c>
      <x:c r="F232" s="1"/>
      <x:c r="G232" s="1"/>
      <x:c r="H232" s="1"/>
      <x:c r="I232" s="1"/>
      <x:c r="J232" s="1"/>
      <x:c r="K232" s="1" t="n">
        <x:v>31</x:v>
      </x:c>
      <x:c r="L232" s="1" t="n">
        <x:v>7.6</x:v>
      </x:c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  <x:c r="AA232" s="1"/>
      <x:c r="AB232" s="1"/>
      <x:c r="AC232" s="1"/>
    </x:row>
    <x:row r="233">
      <x:c r="A233" s="1" t="n">
        <x:v>41</x:v>
      </x:c>
      <x:c r="B233" s="1"/>
      <x:c r="C233" s="1"/>
      <x:c r="D233" s="1"/>
      <x:c r="E233" s="1" t="str">
        <x:v>41</x:v>
      </x:c>
      <x:c r="F233" s="1" t="str">
        <x:v>-99</x:v>
      </x:c>
      <x:c r="G233" s="1"/>
      <x:c r="H233" s="1"/>
      <x:c r="I233" s="1"/>
      <x:c r="J233" s="1" t="n">
        <x:v>45</x:v>
      </x:c>
      <x:c r="K233" s="1" t="n">
        <x:v>34</x:v>
      </x:c>
      <x:c r="L233" s="1" t="str">
        <x:v>-99.0</x:v>
      </x:c>
      <x:c r="M233" s="1" t="n">
        <x:v>114</x:v>
      </x:c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  <x:c r="AA233" s="1"/>
      <x:c r="AB233" s="1"/>
      <x:c r="AC233" s="1"/>
    </x:row>
    <x:row r="234">
      <x:c r="A234" s="1" t="n">
        <x:v>53</x:v>
      </x:c>
      <x:c r="B234" s="1"/>
      <x:c r="C234" s="1"/>
      <x:c r="D234" s="1" t="str">
        <x:v>-99.0</x:v>
      </x:c>
      <x:c r="E234" s="1" t="str">
        <x:v>53</x:v>
      </x:c>
      <x:c r="F234" s="1"/>
      <x:c r="G234" s="1"/>
      <x:c r="H234" s="1"/>
      <x:c r="I234" s="1" t="str">
        <x:v>-99.0</x:v>
      </x:c>
      <x:c r="J234" s="1"/>
      <x:c r="K234" s="1" t="n">
        <x:v>37</x:v>
      </x:c>
      <x:c r="L234" s="1"/>
      <x:c r="M234" s="1"/>
      <x:c r="N234" s="1" t="n">
        <x:v>36</x:v>
      </x:c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  <x:c r="AA234" s="1"/>
      <x:c r="AB234" s="1"/>
      <x:c r="AC234" s="1"/>
    </x:row>
    <x:row r="235">
      <x:c r="A235" s="1" t="n">
        <x:v>11</x:v>
      </x:c>
      <x:c r="B235" s="1" t="n">
        <x:v>0</x:v>
      </x:c>
      <x:c r="C235" s="1"/>
      <x:c r="D235" s="1" t="n">
        <x:v>20</x:v>
      </x:c>
      <x:c r="E235" s="1" t="str">
        <x:v>11;17</x:v>
      </x:c>
      <x:c r="F235" s="1"/>
      <x:c r="G235" s="1" t="n">
        <x:v>1.4</x:v>
      </x:c>
      <x:c r="H235" s="1" t="n">
        <x:v>0.124</x:v>
      </x:c>
      <x:c r="I235" s="1" t="n">
        <x:v>6.34</x:v>
      </x:c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  <x:c r="AA235" s="1"/>
      <x:c r="AB235" s="1"/>
      <x:c r="AC235" s="1"/>
    </x:row>
    <x:row r="236">
      <x:c r="A236" s="1" t="n">
        <x:v>11</x:v>
      </x:c>
      <x:c r="B236" s="1" t="n">
        <x:v>20</x:v>
      </x:c>
      <x:c r="C236" s="1"/>
      <x:c r="D236" s="1" t="n">
        <x:v>40</x:v>
      </x:c>
      <x:c r="E236" s="1" t="str">
        <x:v>11;17</x:v>
      </x:c>
      <x:c r="F236" s="1"/>
      <x:c r="G236" s="1" t="n">
        <x:v>1.1</x:v>
      </x:c>
      <x:c r="H236" s="1" t="n">
        <x:v>0.104</x:v>
      </x:c>
      <x:c r="I236" s="1" t="n">
        <x:v>6.24</x:v>
      </x:c>
      <x:c r="J236" s="1"/>
      <x:c r="K236" s="1"/>
      <x:c r="L236" s="1" t="str">
        <x:v>-99.0</x:v>
      </x:c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  <x:c r="AA236" s="1"/>
      <x:c r="AB236" s="1"/>
      <x:c r="AC236" s="1"/>
    </x:row>
    <x:row r="237">
      <x:c r="A237" s="1" t="n">
        <x:v>23</x:v>
      </x:c>
      <x:c r="B237" s="1" t="n">
        <x:v>0</x:v>
      </x:c>
      <x:c r="C237" s="1"/>
      <x:c r="D237" s="1" t="n">
        <x:v>20</x:v>
      </x:c>
      <x:c r="E237" s="1" t="str">
        <x:v>23;29</x:v>
      </x:c>
      <x:c r="F237" s="1"/>
      <x:c r="G237" s="1" t="n">
        <x:v>1.42</x:v>
      </x:c>
      <x:c r="H237" s="1" t="n">
        <x:v>0.124</x:v>
      </x:c>
      <x:c r="I237" s="1" t="n">
        <x:v>6.34</x:v>
      </x:c>
      <x:c r="J237" s="1"/>
      <x:c r="K237" s="1"/>
      <x:c r="L237" s="1"/>
      <x:c r="M237" s="1"/>
      <x:c r="N237" s="1" t="str">
        <x:v>-99</x:v>
      </x:c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  <x:c r="AA237" s="1"/>
      <x:c r="AB237" s="1"/>
      <x:c r="AC237" s="1"/>
    </x:row>
    <x:row r="238">
      <x:c r="A238" s="1" t="n">
        <x:v>23</x:v>
      </x:c>
      <x:c r="B238" s="1" t="n">
        <x:v>20</x:v>
      </x:c>
      <x:c r="C238" s="1"/>
      <x:c r="D238" s="1" t="n">
        <x:v>40</x:v>
      </x:c>
      <x:c r="E238" s="1" t="str">
        <x:v>23;29</x:v>
      </x:c>
      <x:c r="F238" s="1"/>
      <x:c r="G238" s="1" t="n">
        <x:v>1.12</x:v>
      </x:c>
      <x:c r="H238" s="1" t="n">
        <x:v>0.104</x:v>
      </x:c>
      <x:c r="I238" s="1" t="n">
        <x:v>6.24</x:v>
      </x:c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  <x:c r="AA238" s="1"/>
      <x:c r="AB238" s="1"/>
      <x:c r="AC238" s="1"/>
    </x:row>
    <x:row r="239">
      <x:c r="A239" s="1" t="n">
        <x:v>35</x:v>
      </x:c>
      <x:c r="B239" s="1" t="n">
        <x:v>0</x:v>
      </x:c>
      <x:c r="C239" s="1"/>
      <x:c r="D239" s="1" t="n">
        <x:v>20</x:v>
      </x:c>
      <x:c r="E239" s="1" t="str">
        <x:v>35;41</x:v>
      </x:c>
      <x:c r="F239" s="1" t="str">
        <x:v>-99</x:v>
      </x:c>
      <x:c r="G239" s="1" t="n">
        <x:v>1.44</x:v>
      </x:c>
      <x:c r="H239" s="1" t="n">
        <x:v>0.124</x:v>
      </x:c>
      <x:c r="I239" s="1" t="n">
        <x:v>6.34</x:v>
      </x:c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  <x:c r="AA239" s="1"/>
      <x:c r="AB239" s="1"/>
      <x:c r="AC239" s="1"/>
    </x:row>
    <x:row r="240">
      <x:c r="A240" s="1" t="n">
        <x:v>35</x:v>
      </x:c>
      <x:c r="B240" s="1" t="n">
        <x:v>20</x:v>
      </x:c>
      <x:c r="C240" s="1"/>
      <x:c r="D240" s="1" t="n">
        <x:v>40</x:v>
      </x:c>
      <x:c r="E240" s="1" t="str">
        <x:v>35;41</x:v>
      </x:c>
      <x:c r="F240" s="1"/>
      <x:c r="G240" s="1" t="n">
        <x:v>1.14</x:v>
      </x:c>
      <x:c r="H240" s="1" t="n">
        <x:v>0.104</x:v>
      </x:c>
      <x:c r="I240" s="1" t="n">
        <x:v>6.24</x:v>
      </x:c>
      <x:c r="J240" s="1" t="str">
        <x:v>-99</x:v>
      </x:c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  <x:c r="AA240" s="1"/>
      <x:c r="AB240" s="1"/>
      <x:c r="AC240" s="1"/>
    </x:row>
    <x:row r="241">
      <x:c r="A241" s="1" t="n">
        <x:v>47</x:v>
      </x:c>
      <x:c r="B241" s="1" t="n">
        <x:v>0</x:v>
      </x:c>
      <x:c r="C241" s="1"/>
      <x:c r="D241" s="1" t="n">
        <x:v>20</x:v>
      </x:c>
      <x:c r="E241" s="1" t="str">
        <x:v>47;53</x:v>
      </x:c>
      <x:c r="F241" s="1" t="str">
        <x:v>-99</x:v>
      </x:c>
      <x:c r="G241" s="1" t="n">
        <x:v>1.46</x:v>
      </x:c>
      <x:c r="H241" s="1" t="n">
        <x:v>0.124</x:v>
      </x:c>
      <x:c r="I241" s="1" t="n">
        <x:v>6.34</x:v>
      </x:c>
      <x:c r="J241" s="1"/>
      <x:c r="K241" s="1" t="str">
        <x:v>-99</x:v>
      </x:c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  <x:c r="AA241" s="1"/>
      <x:c r="AB241" s="1"/>
      <x:c r="AC241" s="1"/>
    </x:row>
    <x:row r="242">
      <x:c r="A242" s="1" t="n">
        <x:v>47</x:v>
      </x:c>
      <x:c r="B242" s="1" t="n">
        <x:v>20</x:v>
      </x:c>
      <x:c r="C242" s="1"/>
      <x:c r="D242" s="1" t="n">
        <x:v>40</x:v>
      </x:c>
      <x:c r="E242" s="1" t="str">
        <x:v>47;53</x:v>
      </x:c>
      <x:c r="F242" s="1"/>
      <x:c r="G242" s="1" t="n">
        <x:v>1.16</x:v>
      </x:c>
      <x:c r="H242" s="1" t="n">
        <x:v>0.104</x:v>
      </x:c>
      <x:c r="I242" s="1" t="n">
        <x:v>6.24</x:v>
      </x:c>
      <x:c r="J242" s="1"/>
      <x:c r="K242" s="1"/>
      <x:c r="L242" s="1"/>
      <x:c r="M242" s="1"/>
      <x:c r="N242" s="1" t="str">
        <x:v>-99</x:v>
      </x:c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  <x:c r="AA242" s="1"/>
      <x:c r="AB242" s="1"/>
      <x:c r="AC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  <x:c r="AA243" s="1"/>
      <x:c r="AB243" s="1"/>
      <x:c r="AC243" s="1"/>
    </x:row>
    <x:row r="244">
      <x:c r="A244" s="1" t="str">
        <x:v>! Section</x:v>
      </x:c>
      <x:c r="B244" s="1" t="str">
        <x:v>Soil_layer_observations_timeseries</x:v>
      </x:c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  <x:c r="AA244" s="1"/>
      <x:c r="AB244" s="1"/>
      <x:c r="AC244" s="1"/>
    </x:row>
    <x:row r="245">
      <x:c r="A245" s="1" t="str">
        <x:v>! Definitions</x:v>
      </x:c>
      <x:c r="B245" s="1" t="str">
        <x:v>Soil temperature of given soil layer</x:v>
      </x:c>
      <x:c r="C245" s="1"/>
      <x:c r="D245" s="1" t="str">
        <x:v>NH4[N], for a given soil layer</x:v>
      </x:c>
      <x:c r="E245" s="1" t="str">
        <x:v>NO3[N], for a given soil layer</x:v>
      </x:c>
      <x:c r="F245" s="1" t="str">
        <x:v>Root length_density (ratio of length to soil volume) in a soil layer</x:v>
      </x:c>
      <x:c r="G245" s="1" t="str">
        <x:v>Soil water measured at a specified depth</x:v>
      </x:c>
      <x:c r="H245" s="1" t="str">
        <x:v>Phosphorus, extractable</x:v>
      </x:c>
      <x:c r="I245" s="1" t="str">
        <x:v>One or more represented plot_season_id values for this observation or layer row. The row's plot_season_id must be included; use a single ID for a single plot-season; use multiple IDs only for a broader observation. The API stores the trimmed, duplicate-free list in lexicographic order.</x:v>
      </x:c>
      <x:c r="J245" s="1" t="str">
        <x:v>Soil layer depth to lower boundary of sample (bottom)</x:v>
      </x:c>
      <x:c r="K245" s="1" t="str">
        <x:v>Soil layer depth to upper boundary of sample (top)</x:v>
      </x:c>
      <x:c r="L245" s="1" t="str">
        <x:v>Date of measurement; use YYYY-MM-DD.</x:v>
      </x:c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  <x:c r="AA245" s="1"/>
      <x:c r="AB245" s="1"/>
      <x:c r="AC245" s="1"/>
    </x:row>
    <x:row r="246">
      <x:c r="A246" s="1" t="str">
        <x:v>! Units</x:v>
      </x:c>
      <x:c r="B246" s="1" t="str">
        <x:v>degree_C</x:v>
      </x:c>
      <x:c r="C246" s="1"/>
      <x:c r="D246" s="1" t="str">
        <x:v>g/Mg</x:v>
      </x:c>
      <x:c r="E246" s="1" t="str">
        <x:v>g/Mg</x:v>
      </x:c>
      <x:c r="F246" s="1" t="str">
        <x:v>cm/cm3</x:v>
      </x:c>
      <x:c r="G246" s="1" t="str">
        <x:v>cm3/cm3</x:v>
      </x:c>
      <x:c r="H246" s="1" t="str">
        <x:v>mg/kg</x:v>
      </x:c>
      <x:c r="I246" s="1" t="str">
        <x:v>text</x:v>
      </x:c>
      <x:c r="J246" s="1" t="str">
        <x:v>cm</x:v>
      </x:c>
      <x:c r="K246" s="1" t="str">
        <x:v>cm</x:v>
      </x:c>
      <x:c r="L246" s="1" t="str">
        <x:v>date</x:v>
      </x:c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  <x:c r="AA246" s="1"/>
      <x:c r="AB246" s="1"/>
      <x:c r="AC246" s="1"/>
    </x:row>
    <x:row r="247">
      <x:c r="A247" s="2" t="str">
        <x:v>%</x:v>
      </x:c>
      <x:c r="B247" s="2" t="str">
        <x:v> TMPSLD </x:v>
      </x:c>
      <x:c r="C247" s="2"/>
      <x:c r="D247" s="2" t="str">
        <x:v>nhsld</x:v>
      </x:c>
      <x:c r="E247" s="2" t="str">
        <x:v>NOSLD</x:v>
      </x:c>
      <x:c r="F247" s="2" t="str">
        <x:v>RLDLD</x:v>
      </x:c>
      <x:c r="G247" s="2" t="str">
        <x:v>swld</x:v>
      </x:c>
      <x:c r="H247" s="2" t="str">
        <x:v> SLPX </x:v>
      </x:c>
      <x:c r="I247" s="2" t="str">
        <x:v>GRPPLS</x:v>
      </x:c>
      <x:c r="J247" s="2" t="str">
        <x:v>sldlb</x:v>
      </x:c>
      <x:c r="K247" s="2" t="str">
        <x:v>SLDUB</x:v>
      </x:c>
      <x:c r="L247" s="2" t="str">
        <x:v>DATE</x:v>
      </x:c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</x:row>
    <x:row r="248">
      <x:c r="A248" s="1" t="n">
        <x:v>11</x:v>
      </x:c>
      <x:c r="B248" s="1" t="n">
        <x:v>18.33</x:v>
      </x:c>
      <x:c r="C248" s="1"/>
      <x:c r="D248" s="1"/>
      <x:c r="E248" s="1"/>
      <x:c r="F248" s="1" t="n">
        <x:v>0.505</x:v>
      </x:c>
      <x:c r="G248" s="1" t="n">
        <x:v>0.208</x:v>
      </x:c>
      <x:c r="H248" s="1" t="n">
        <x:v>18.8</x:v>
      </x:c>
      <x:c r="I248" s="1" t="str">
        <x:v>11</x:v>
      </x:c>
      <x:c r="J248" s="1" t="n">
        <x:v>20</x:v>
      </x:c>
      <x:c r="K248" s="1" t="n">
        <x:v>0</x:v>
      </x:c>
      <x:c r="L248" s="1" t="str">
        <x:v>2023-4-3</x:v>
      </x:c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  <x:c r="AA248" s="1"/>
      <x:c r="AB248" s="1"/>
      <x:c r="AC248" s="1"/>
    </x:row>
    <x:row r="249">
      <x:c r="A249" s="1" t="n">
        <x:v>11</x:v>
      </x:c>
      <x:c r="B249" s="1" t="n">
        <x:v>17.73</x:v>
      </x:c>
      <x:c r="C249" s="1"/>
      <x:c r="D249" s="1"/>
      <x:c r="E249" s="1"/>
      <x:c r="F249" s="1" t="n">
        <x:v>0.303</x:v>
      </x:c>
      <x:c r="G249" s="1" t="n">
        <x:v>0.218</x:v>
      </x:c>
      <x:c r="H249" s="1" t="n">
        <x:v>16.8</x:v>
      </x:c>
      <x:c r="I249" s="1" t="str">
        <x:v>11</x:v>
      </x:c>
      <x:c r="J249" s="1" t="n">
        <x:v>40</x:v>
      </x:c>
      <x:c r="K249" s="1" t="n">
        <x:v>20</x:v>
      </x:c>
      <x:c r="L249" s="1" t="str">
        <x:v>23093</x:v>
      </x:c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  <x:c r="AA249" s="1"/>
      <x:c r="AB249" s="1"/>
      <x:c r="AC249" s="1"/>
    </x:row>
    <x:row r="250">
      <x:c r="A250" s="1" t="n">
        <x:v>11</x:v>
      </x:c>
      <x:c r="B250" s="1" t="n">
        <x:v>20.8</x:v>
      </x:c>
      <x:c r="C250" s="1"/>
      <x:c r="D250" s="1"/>
      <x:c r="E250" s="1"/>
      <x:c r="F250" s="1" t="n">
        <x:v>0.86</x:v>
      </x:c>
      <x:c r="G250" s="1" t="n">
        <x:v>0.21</x:v>
      </x:c>
      <x:c r="H250" s="1" t="n">
        <x:v>18.5</x:v>
      </x:c>
      <x:c r="I250" s="1" t="str">
        <x:v>11</x:v>
      </x:c>
      <x:c r="J250" s="1" t="n">
        <x:v>20</x:v>
      </x:c>
      <x:c r="K250" s="1" t="n">
        <x:v>0</x:v>
      </x:c>
      <x:c r="L250" s="3" t="d">
        <x:v>2023-05-09T00:00:00.000Z</x:v>
      </x:c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  <x:c r="AA250" s="1"/>
      <x:c r="AB250" s="1"/>
      <x:c r="AC250" s="1"/>
    </x:row>
    <x:row r="251">
      <x:c r="A251" s="1" t="n">
        <x:v>11</x:v>
      </x:c>
      <x:c r="B251" s="1" t="n">
        <x:v>20.2</x:v>
      </x:c>
      <x:c r="C251" s="1"/>
      <x:c r="D251" s="1"/>
      <x:c r="E251" s="1"/>
      <x:c r="F251" s="1" t="n">
        <x:v>0.516</x:v>
      </x:c>
      <x:c r="G251" s="1" t="n">
        <x:v>0.22</x:v>
      </x:c>
      <x:c r="H251" s="1" t="n">
        <x:v>16.5</x:v>
      </x:c>
      <x:c r="I251" s="1" t="str">
        <x:v>11</x:v>
      </x:c>
      <x:c r="J251" s="1" t="n">
        <x:v>40</x:v>
      </x:c>
      <x:c r="K251" s="1" t="n">
        <x:v>20</x:v>
      </x:c>
      <x:c r="L251" s="1" t="str">
        <x:v> 2023-05-09</x:v>
      </x:c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  <x:c r="AA251" s="1"/>
      <x:c r="AB251" s="1"/>
      <x:c r="AC251" s="1"/>
    </x:row>
    <x:row r="252">
      <x:c r="A252" s="1" t="n">
        <x:v>11</x:v>
      </x:c>
      <x:c r="B252" s="1" t="n">
        <x:v>17.52</x:v>
      </x:c>
      <x:c r="C252" s="1"/>
      <x:c r="D252" s="1"/>
      <x:c r="E252" s="1"/>
      <x:c r="F252" s="1" t="n">
        <x:v>0.39</x:v>
      </x:c>
      <x:c r="G252" s="1" t="n">
        <x:v>0.181</x:v>
      </x:c>
      <x:c r="H252" s="1" t="n">
        <x:v>18.15</x:v>
      </x:c>
      <x:c r="I252" s="1" t="str">
        <x:v>11</x:v>
      </x:c>
      <x:c r="J252" s="1" t="n">
        <x:v>20</x:v>
      </x:c>
      <x:c r="K252" s="1" t="n">
        <x:v>0</x:v>
      </x:c>
      <x:c r="L252" s="1" t="str">
        <x:v>2023-6-20</x:v>
      </x:c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  <x:c r="AA252" s="1"/>
      <x:c r="AB252" s="1"/>
      <x:c r="AC252" s="1"/>
    </x:row>
    <x:row r="253">
      <x:c r="A253" s="1" t="n">
        <x:v>11</x:v>
      </x:c>
      <x:c r="B253" s="1" t="n">
        <x:v>16.92</x:v>
      </x:c>
      <x:c r="C253" s="1"/>
      <x:c r="D253" s="1"/>
      <x:c r="E253" s="1"/>
      <x:c r="F253" s="1" t="n">
        <x:v>0.234</x:v>
      </x:c>
      <x:c r="G253" s="1" t="n">
        <x:v>0.191</x:v>
      </x:c>
      <x:c r="H253" s="1" t="n">
        <x:v>16.15</x:v>
      </x:c>
      <x:c r="I253" s="1" t="str">
        <x:v>11</x:v>
      </x:c>
      <x:c r="J253" s="1" t="n">
        <x:v>40</x:v>
      </x:c>
      <x:c r="K253" s="1" t="n">
        <x:v>20</x:v>
      </x:c>
      <x:c r="L253" s="1" t="str">
        <x:v>23171</x:v>
      </x:c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  <x:c r="AA253" s="1"/>
      <x:c r="AB253" s="1"/>
      <x:c r="AC253" s="1"/>
    </x:row>
    <x:row r="254">
      <x:c r="A254" s="1" t="n">
        <x:v>23</x:v>
      </x:c>
      <x:c r="B254" s="1"/>
      <x:c r="C254" s="1"/>
      <x:c r="D254" s="1" t="n">
        <x:v>1.34</x:v>
      </x:c>
      <x:c r="E254" s="1" t="n">
        <x:v>8.7</x:v>
      </x:c>
      <x:c r="F254" s="1"/>
      <x:c r="G254" s="1" t="n">
        <x:v>0.211</x:v>
      </x:c>
      <x:c r="H254" s="1"/>
      <x:c r="I254" s="1" t="str">
        <x:v>23</x:v>
      </x:c>
      <x:c r="J254" s="1" t="n">
        <x:v>20</x:v>
      </x:c>
      <x:c r="K254" s="1" t="n">
        <x:v>0</x:v>
      </x:c>
      <x:c r="L254" s="3" t="d">
        <x:v>2024-05-16T00:00:00.000Z</x:v>
      </x:c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  <x:c r="AA254" s="1"/>
      <x:c r="AB254" s="1"/>
      <x:c r="AC254" s="1"/>
    </x:row>
    <x:row r="255">
      <x:c r="A255" s="1" t="n">
        <x:v>23</x:v>
      </x:c>
      <x:c r="B255" s="1"/>
      <x:c r="C255" s="1"/>
      <x:c r="D255" s="1" t="n">
        <x:v>1.18</x:v>
      </x:c>
      <x:c r="E255" s="1" t="n">
        <x:v>8.2</x:v>
      </x:c>
      <x:c r="F255" s="1"/>
      <x:c r="G255" s="1" t="n">
        <x:v>0.221</x:v>
      </x:c>
      <x:c r="H255" s="1"/>
      <x:c r="I255" s="1" t="str">
        <x:v>23</x:v>
      </x:c>
      <x:c r="J255" s="1" t="n">
        <x:v>40</x:v>
      </x:c>
      <x:c r="K255" s="1" t="n">
        <x:v>20</x:v>
      </x:c>
      <x:c r="L255" s="1" t="str">
        <x:v> 2024-05-16</x:v>
      </x:c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  <x:c r="AA255" s="1"/>
      <x:c r="AB255" s="1"/>
      <x:c r="AC255" s="1"/>
    </x:row>
    <x:row r="256">
      <x:c r="A256" s="1" t="n">
        <x:v>23</x:v>
      </x:c>
      <x:c r="B256" s="1"/>
      <x:c r="C256" s="1"/>
      <x:c r="D256" s="1" t="n">
        <x:v>1.25</x:v>
      </x:c>
      <x:c r="E256" s="1" t="n">
        <x:v>7.8</x:v>
      </x:c>
      <x:c r="F256" s="1"/>
      <x:c r="G256" s="1" t="n">
        <x:v>0.213</x:v>
      </x:c>
      <x:c r="H256" s="1"/>
      <x:c r="I256" s="1" t="str">
        <x:v>23</x:v>
      </x:c>
      <x:c r="J256" s="1" t="n">
        <x:v>20</x:v>
      </x:c>
      <x:c r="K256" s="1" t="n">
        <x:v>0</x:v>
      </x:c>
      <x:c r="L256" s="1" t="str">
        <x:v>2024-6-24</x:v>
      </x:c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  <x:c r="AA256" s="1"/>
      <x:c r="AB256" s="1"/>
      <x:c r="AC256" s="1"/>
    </x:row>
    <x:row r="257">
      <x:c r="A257" s="1" t="n">
        <x:v>23</x:v>
      </x:c>
      <x:c r="B257" s="1"/>
      <x:c r="C257" s="1"/>
      <x:c r="D257" s="1" t="n">
        <x:v>1.09</x:v>
      </x:c>
      <x:c r="E257" s="1" t="n">
        <x:v>7.3</x:v>
      </x:c>
      <x:c r="F257" s="1"/>
      <x:c r="G257" s="1" t="n">
        <x:v>0.223</x:v>
      </x:c>
      <x:c r="H257" s="1"/>
      <x:c r="I257" s="1" t="str">
        <x:v>23</x:v>
      </x:c>
      <x:c r="J257" s="1" t="n">
        <x:v>40</x:v>
      </x:c>
      <x:c r="K257" s="1" t="n">
        <x:v>20</x:v>
      </x:c>
      <x:c r="L257" s="1" t="str">
        <x:v>24176</x:v>
      </x:c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  <x:c r="AA257" s="1"/>
      <x:c r="AB257" s="1"/>
      <x:c r="AC257" s="1"/>
    </x:row>
    <x:row r="258">
      <x:c r="A258" s="1" t="n">
        <x:v>23</x:v>
      </x:c>
      <x:c r="B258" s="1"/>
      <x:c r="C258" s="1"/>
      <x:c r="D258" s="1" t="n">
        <x:v>1.15</x:v>
      </x:c>
      <x:c r="E258" s="1" t="n">
        <x:v>6.75</x:v>
      </x:c>
      <x:c r="F258" s="1"/>
      <x:c r="G258" s="1" t="n">
        <x:v>0.184</x:v>
      </x:c>
      <x:c r="H258" s="1"/>
      <x:c r="I258" s="1" t="str">
        <x:v>23</x:v>
      </x:c>
      <x:c r="J258" s="1" t="n">
        <x:v>20</x:v>
      </x:c>
      <x:c r="K258" s="1" t="n">
        <x:v>0</x:v>
      </x:c>
      <x:c r="L258" s="3" t="d">
        <x:v>2024-08-08T00:00:00.000Z</x:v>
      </x:c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  <x:c r="AA258" s="1"/>
      <x:c r="AB258" s="1"/>
      <x:c r="AC258" s="1"/>
    </x:row>
    <x:row r="259">
      <x:c r="A259" s="1" t="n">
        <x:v>23</x:v>
      </x:c>
      <x:c r="B259" s="1"/>
      <x:c r="C259" s="1"/>
      <x:c r="D259" s="1" t="n">
        <x:v>0.98</x:v>
      </x:c>
      <x:c r="E259" s="1" t="n">
        <x:v>6.25</x:v>
      </x:c>
      <x:c r="F259" s="1"/>
      <x:c r="G259" s="1" t="n">
        <x:v>0.194</x:v>
      </x:c>
      <x:c r="H259" s="1"/>
      <x:c r="I259" s="1" t="str">
        <x:v>23</x:v>
      </x:c>
      <x:c r="J259" s="1" t="n">
        <x:v>40</x:v>
      </x:c>
      <x:c r="K259" s="1" t="n">
        <x:v>20</x:v>
      </x:c>
      <x:c r="L259" s="1" t="str">
        <x:v> 2024-08-08</x:v>
      </x:c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  <x:c r="AA259" s="1"/>
      <x:c r="AB259" s="1"/>
      <x:c r="AC259" s="1"/>
    </x:row>
    <x:row r="260">
      <x:c r="A260" s="1" t="n">
        <x:v>35</x:v>
      </x:c>
      <x:c r="B260" s="1" t="n">
        <x:v>18.33</x:v>
      </x:c>
      <x:c r="C260" s="1"/>
      <x:c r="D260" s="1" t="n">
        <x:v>1.34</x:v>
      </x:c>
      <x:c r="E260" s="1" t="n">
        <x:v>5.2</x:v>
      </x:c>
      <x:c r="F260" s="1"/>
      <x:c r="G260" s="1" t="n">
        <x:v>0.205</x:v>
      </x:c>
      <x:c r="H260" s="1" t="str">
        <x:v>-99</x:v>
      </x:c>
      <x:c r="I260" s="1" t="str">
        <x:v>35</x:v>
      </x:c>
      <x:c r="J260" s="1" t="n">
        <x:v>20</x:v>
      </x:c>
      <x:c r="K260" s="1" t="n">
        <x:v>0</x:v>
      </x:c>
      <x:c r="L260" s="1" t="str">
        <x:v>2025-6-3</x:v>
      </x:c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  <x:c r="AA260" s="1"/>
      <x:c r="AB260" s="1"/>
      <x:c r="AC260" s="1"/>
    </x:row>
    <x:row r="261">
      <x:c r="A261" s="1" t="n">
        <x:v>35</x:v>
      </x:c>
      <x:c r="B261" s="1" t="n">
        <x:v>17.73</x:v>
      </x:c>
      <x:c r="C261" s="1"/>
      <x:c r="D261" s="1" t="n">
        <x:v>1.18</x:v>
      </x:c>
      <x:c r="E261" s="1" t="n">
        <x:v>4.7</x:v>
      </x:c>
      <x:c r="F261" s="1" t="str">
        <x:v>-99</x:v>
      </x:c>
      <x:c r="G261" s="1" t="n">
        <x:v>0.215</x:v>
      </x:c>
      <x:c r="H261" s="1"/>
      <x:c r="I261" s="1" t="str">
        <x:v>35</x:v>
      </x:c>
      <x:c r="J261" s="1" t="n">
        <x:v>40</x:v>
      </x:c>
      <x:c r="K261" s="1" t="n">
        <x:v>20</x:v>
      </x:c>
      <x:c r="L261" s="1" t="str">
        <x:v>25154</x:v>
      </x:c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  <x:c r="AA261" s="1"/>
      <x:c r="AB261" s="1"/>
      <x:c r="AC261" s="1"/>
    </x:row>
    <x:row r="262">
      <x:c r="A262" s="1" t="n">
        <x:v>35</x:v>
      </x:c>
      <x:c r="B262" s="1" t="n">
        <x:v>20.8</x:v>
      </x:c>
      <x:c r="C262" s="1"/>
      <x:c r="D262" s="1" t="n">
        <x:v>1.25</x:v>
      </x:c>
      <x:c r="E262" s="1" t="n">
        <x:v>4.3</x:v>
      </x:c>
      <x:c r="F262" s="1"/>
      <x:c r="G262" s="1" t="n">
        <x:v>0.207</x:v>
      </x:c>
      <x:c r="H262" s="1"/>
      <x:c r="I262" s="1" t="str">
        <x:v>35</x:v>
      </x:c>
      <x:c r="J262" s="1" t="n">
        <x:v>20</x:v>
      </x:c>
      <x:c r="K262" s="1" t="n">
        <x:v>0</x:v>
      </x:c>
      <x:c r="L262" s="3" t="d">
        <x:v>2025-07-06T00:00:00.000Z</x:v>
      </x:c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  <x:c r="AA262" s="1"/>
      <x:c r="AB262" s="1"/>
      <x:c r="AC262" s="1"/>
    </x:row>
    <x:row r="263">
      <x:c r="A263" s="1" t="n">
        <x:v>35</x:v>
      </x:c>
      <x:c r="B263" s="1" t="n">
        <x:v>20.2</x:v>
      </x:c>
      <x:c r="C263" s="1"/>
      <x:c r="D263" s="1" t="n">
        <x:v>1.09</x:v>
      </x:c>
      <x:c r="E263" s="1" t="n">
        <x:v>3.8</x:v>
      </x:c>
      <x:c r="F263" s="1"/>
      <x:c r="G263" s="1" t="n">
        <x:v>0.217</x:v>
      </x:c>
      <x:c r="H263" s="1"/>
      <x:c r="I263" s="1" t="str">
        <x:v>35</x:v>
      </x:c>
      <x:c r="J263" s="1" t="n">
        <x:v>40</x:v>
      </x:c>
      <x:c r="K263" s="1" t="n">
        <x:v>20</x:v>
      </x:c>
      <x:c r="L263" s="1" t="str">
        <x:v> 2025-07-06</x:v>
      </x:c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  <x:c r="AA263" s="1"/>
      <x:c r="AB263" s="1"/>
      <x:c r="AC263" s="1"/>
    </x:row>
    <x:row r="264">
      <x:c r="A264" s="1" t="n">
        <x:v>35</x:v>
      </x:c>
      <x:c r="B264" s="1" t="n">
        <x:v>17.52</x:v>
      </x:c>
      <x:c r="C264" s="1"/>
      <x:c r="D264" s="1" t="n">
        <x:v>1.15</x:v>
      </x:c>
      <x:c r="E264" s="1" t="n">
        <x:v>3.25</x:v>
      </x:c>
      <x:c r="F264" s="1"/>
      <x:c r="G264" s="1" t="n">
        <x:v>0.178</x:v>
      </x:c>
      <x:c r="H264" s="1" t="str">
        <x:v>-99</x:v>
      </x:c>
      <x:c r="I264" s="1" t="str">
        <x:v>35</x:v>
      </x:c>
      <x:c r="J264" s="1" t="n">
        <x:v>20</x:v>
      </x:c>
      <x:c r="K264" s="1" t="n">
        <x:v>0</x:v>
      </x:c>
      <x:c r="L264" s="1" t="str">
        <x:v>2025-8-14</x:v>
      </x:c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  <x:c r="AA264" s="1"/>
      <x:c r="AB264" s="1"/>
      <x:c r="AC264" s="1"/>
    </x:row>
    <x:row r="265">
      <x:c r="A265" s="1" t="n">
        <x:v>35</x:v>
      </x:c>
      <x:c r="B265" s="1" t="n">
        <x:v>16.92</x:v>
      </x:c>
      <x:c r="C265" s="1"/>
      <x:c r="D265" s="1" t="n">
        <x:v>0.98</x:v>
      </x:c>
      <x:c r="E265" s="1" t="n">
        <x:v>2.75</x:v>
      </x:c>
      <x:c r="F265" s="1"/>
      <x:c r="G265" s="1" t="n">
        <x:v>0.188</x:v>
      </x:c>
      <x:c r="H265" s="1"/>
      <x:c r="I265" s="1" t="str">
        <x:v>35</x:v>
      </x:c>
      <x:c r="J265" s="1" t="n">
        <x:v>40</x:v>
      </x:c>
      <x:c r="K265" s="1" t="n">
        <x:v>20</x:v>
      </x:c>
      <x:c r="L265" s="1" t="str">
        <x:v>25226</x:v>
      </x:c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  <x:c r="AA265" s="1"/>
      <x:c r="AB265" s="1"/>
      <x:c r="AC265" s="1"/>
    </x:row>
    <x:row r="266">
      <x:c r="A266" s="1" t="n">
        <x:v>47</x:v>
      </x:c>
      <x:c r="B266" s="1"/>
      <x:c r="C266" s="1"/>
      <x:c r="D266" s="1"/>
      <x:c r="E266" s="1"/>
      <x:c r="F266" s="1" t="n">
        <x:v>0.505</x:v>
      </x:c>
      <x:c r="G266" s="1" t="n">
        <x:v>0.208</x:v>
      </x:c>
      <x:c r="H266" s="1"/>
      <x:c r="I266" s="1" t="str">
        <x:v>47</x:v>
      </x:c>
      <x:c r="J266" s="1" t="n">
        <x:v>20</x:v>
      </x:c>
      <x:c r="K266" s="1" t="n">
        <x:v>0</x:v>
      </x:c>
      <x:c r="L266" s="3" t="d">
        <x:v>2026-04-12T00:00:00.000Z</x:v>
      </x:c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  <x:c r="AA266" s="1"/>
      <x:c r="AB266" s="1"/>
      <x:c r="AC266" s="1"/>
    </x:row>
    <x:row r="267">
      <x:c r="A267" s="1" t="n">
        <x:v>47</x:v>
      </x:c>
      <x:c r="B267" s="1"/>
      <x:c r="C267" s="1"/>
      <x:c r="D267" s="1"/>
      <x:c r="E267" s="1"/>
      <x:c r="F267" s="1" t="n">
        <x:v>0.303</x:v>
      </x:c>
      <x:c r="G267" s="1" t="n">
        <x:v>0.218</x:v>
      </x:c>
      <x:c r="H267" s="1"/>
      <x:c r="I267" s="1" t="str">
        <x:v>47</x:v>
      </x:c>
      <x:c r="J267" s="1" t="n">
        <x:v>40</x:v>
      </x:c>
      <x:c r="K267" s="1" t="n">
        <x:v>20</x:v>
      </x:c>
      <x:c r="L267" s="1" t="str">
        <x:v> 2026-04-12</x:v>
      </x:c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  <x:c r="AA267" s="1"/>
      <x:c r="AB267" s="1"/>
      <x:c r="AC267" s="1"/>
    </x:row>
    <x:row r="268">
      <x:c r="A268" s="1" t="n">
        <x:v>47</x:v>
      </x:c>
      <x:c r="B268" s="1"/>
      <x:c r="C268" s="1"/>
      <x:c r="D268" s="1"/>
      <x:c r="E268" s="1" t="str">
        <x:v>-99</x:v>
      </x:c>
      <x:c r="F268" s="1" t="n">
        <x:v>0.86</x:v>
      </x:c>
      <x:c r="G268" s="1" t="n">
        <x:v>0.21</x:v>
      </x:c>
      <x:c r="H268" s="1"/>
      <x:c r="I268" s="1" t="str">
        <x:v>47</x:v>
      </x:c>
      <x:c r="J268" s="1" t="n">
        <x:v>20</x:v>
      </x:c>
      <x:c r="K268" s="1" t="n">
        <x:v>0</x:v>
      </x:c>
      <x:c r="L268" s="1" t="str">
        <x:v>2026-5-19</x:v>
      </x:c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  <x:c r="AA268" s="1"/>
      <x:c r="AB268" s="1"/>
      <x:c r="AC268" s="1"/>
    </x:row>
    <x:row r="269">
      <x:c r="A269" s="1" t="n">
        <x:v>47</x:v>
      </x:c>
      <x:c r="B269" s="1"/>
      <x:c r="C269" s="1"/>
      <x:c r="D269" s="1"/>
      <x:c r="E269" s="1"/>
      <x:c r="F269" s="1" t="n">
        <x:v>0.516</x:v>
      </x:c>
      <x:c r="G269" s="1" t="n">
        <x:v>0.22</x:v>
      </x:c>
      <x:c r="H269" s="1"/>
      <x:c r="I269" s="1" t="str">
        <x:v>47</x:v>
      </x:c>
      <x:c r="J269" s="1" t="n">
        <x:v>40</x:v>
      </x:c>
      <x:c r="K269" s="1" t="n">
        <x:v>20</x:v>
      </x:c>
      <x:c r="L269" s="1" t="str">
        <x:v>26139</x:v>
      </x:c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  <x:c r="AA269" s="1"/>
      <x:c r="AB269" s="1"/>
      <x:c r="AC269" s="1"/>
    </x:row>
    <x:row r="270">
      <x:c r="A270" s="1" t="n">
        <x:v>47</x:v>
      </x:c>
      <x:c r="B270" s="1"/>
      <x:c r="C270" s="1"/>
      <x:c r="D270" s="1"/>
      <x:c r="E270" s="1"/>
      <x:c r="F270" s="1" t="n">
        <x:v>0.39</x:v>
      </x:c>
      <x:c r="G270" s="1" t="n">
        <x:v>0.181</x:v>
      </x:c>
      <x:c r="H270" s="1"/>
      <x:c r="I270" s="1" t="str">
        <x:v>47</x:v>
      </x:c>
      <x:c r="J270" s="1" t="n">
        <x:v>20</x:v>
      </x:c>
      <x:c r="K270" s="1" t="n">
        <x:v>0</x:v>
      </x:c>
      <x:c r="L270" s="3" t="d">
        <x:v>2026-07-02T00:00:00.000Z</x:v>
      </x:c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  <x:c r="AA270" s="1"/>
      <x:c r="AB270" s="1"/>
      <x:c r="AC270" s="1"/>
    </x:row>
    <x:row r="271">
      <x:c r="A271" s="1" t="n">
        <x:v>47</x:v>
      </x:c>
      <x:c r="B271" s="1" t="str">
        <x:v>-99.0</x:v>
      </x:c>
      <x:c r="C271" s="1"/>
      <x:c r="D271" s="1"/>
      <x:c r="E271" s="1"/>
      <x:c r="F271" s="1" t="n">
        <x:v>0.234</x:v>
      </x:c>
      <x:c r="G271" s="1" t="n">
        <x:v>0.191</x:v>
      </x:c>
      <x:c r="H271" s="1"/>
      <x:c r="I271" s="1" t="str">
        <x:v>47</x:v>
      </x:c>
      <x:c r="J271" s="1" t="n">
        <x:v>40</x:v>
      </x:c>
      <x:c r="K271" s="1" t="n">
        <x:v>20</x:v>
      </x:c>
      <x:c r="L271" s="1" t="str">
        <x:v> 2026-07-02</x:v>
      </x:c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  <x:c r="AA271" s="1"/>
      <x:c r="AB271" s="1"/>
      <x:c r="AC271" s="1"/>
    </x:row>
    <x:row r="272">
      <x:c r="A272" s="1" t="n">
        <x:v>17</x:v>
      </x:c>
      <x:c r="B272" s="1" t="n">
        <x:v>18.33</x:v>
      </x:c>
      <x:c r="C272" s="1"/>
      <x:c r="D272" s="1" t="n">
        <x:v>1.34</x:v>
      </x:c>
      <x:c r="E272" s="1" t="n">
        <x:v>6.6</x:v>
      </x:c>
      <x:c r="F272" s="1"/>
      <x:c r="G272" s="1" t="n">
        <x:v>0.211</x:v>
      </x:c>
      <x:c r="H272" s="1" t="n">
        <x:v>18.8</x:v>
      </x:c>
      <x:c r="I272" s="1" t="str">
        <x:v>17</x:v>
      </x:c>
      <x:c r="J272" s="1" t="n">
        <x:v>20</x:v>
      </x:c>
      <x:c r="K272" s="1" t="n">
        <x:v>0</x:v>
      </x:c>
      <x:c r="L272" s="1" t="str">
        <x:v>2023-4-3</x:v>
      </x:c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  <x:c r="AA272" s="1"/>
      <x:c r="AB272" s="1"/>
      <x:c r="AC272" s="1"/>
    </x:row>
    <x:row r="273">
      <x:c r="A273" s="1" t="n">
        <x:v>17</x:v>
      </x:c>
      <x:c r="B273" s="1" t="n">
        <x:v>17.73</x:v>
      </x:c>
      <x:c r="C273" s="1"/>
      <x:c r="D273" s="1" t="n">
        <x:v>1.18</x:v>
      </x:c>
      <x:c r="E273" s="1" t="n">
        <x:v>6.1</x:v>
      </x:c>
      <x:c r="F273" s="1"/>
      <x:c r="G273" s="1" t="n">
        <x:v>0.221</x:v>
      </x:c>
      <x:c r="H273" s="1" t="n">
        <x:v>16.8</x:v>
      </x:c>
      <x:c r="I273" s="1" t="str">
        <x:v>17</x:v>
      </x:c>
      <x:c r="J273" s="1" t="n">
        <x:v>40</x:v>
      </x:c>
      <x:c r="K273" s="1" t="n">
        <x:v>20</x:v>
      </x:c>
      <x:c r="L273" s="1" t="str">
        <x:v>23093</x:v>
      </x:c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  <x:c r="AA273" s="1"/>
      <x:c r="AB273" s="1"/>
      <x:c r="AC273" s="1"/>
    </x:row>
    <x:row r="274">
      <x:c r="A274" s="1" t="n">
        <x:v>17</x:v>
      </x:c>
      <x:c r="B274" s="1" t="n">
        <x:v>20.8</x:v>
      </x:c>
      <x:c r="C274" s="1"/>
      <x:c r="D274" s="1" t="n">
        <x:v>1.25</x:v>
      </x:c>
      <x:c r="E274" s="1" t="n">
        <x:v>5.7</x:v>
      </x:c>
      <x:c r="F274" s="1"/>
      <x:c r="G274" s="1" t="n">
        <x:v>0.213</x:v>
      </x:c>
      <x:c r="H274" s="1" t="n">
        <x:v>18.5</x:v>
      </x:c>
      <x:c r="I274" s="1" t="str">
        <x:v>17</x:v>
      </x:c>
      <x:c r="J274" s="1" t="n">
        <x:v>20</x:v>
      </x:c>
      <x:c r="K274" s="1" t="n">
        <x:v>0</x:v>
      </x:c>
      <x:c r="L274" s="3" t="d">
        <x:v>2023-05-09T00:00:00.000Z</x:v>
      </x:c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  <x:c r="AA274" s="1"/>
      <x:c r="AB274" s="1"/>
      <x:c r="AC274" s="1"/>
    </x:row>
    <x:row r="275">
      <x:c r="A275" s="1" t="n">
        <x:v>17</x:v>
      </x:c>
      <x:c r="B275" s="1" t="n">
        <x:v>20.2</x:v>
      </x:c>
      <x:c r="C275" s="1"/>
      <x:c r="D275" s="1" t="n">
        <x:v>1.09</x:v>
      </x:c>
      <x:c r="E275" s="1" t="n">
        <x:v>5.2</x:v>
      </x:c>
      <x:c r="F275" s="1"/>
      <x:c r="G275" s="1" t="n">
        <x:v>0.223</x:v>
      </x:c>
      <x:c r="H275" s="1" t="n">
        <x:v>16.5</x:v>
      </x:c>
      <x:c r="I275" s="1" t="str">
        <x:v>17</x:v>
      </x:c>
      <x:c r="J275" s="1" t="n">
        <x:v>40</x:v>
      </x:c>
      <x:c r="K275" s="1" t="n">
        <x:v>20</x:v>
      </x:c>
      <x:c r="L275" s="1" t="str">
        <x:v> 2023-05-09</x:v>
      </x:c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  <x:c r="AA275" s="1"/>
      <x:c r="AB275" s="1"/>
      <x:c r="AC275" s="1"/>
    </x:row>
    <x:row r="276">
      <x:c r="A276" s="1" t="n">
        <x:v>17</x:v>
      </x:c>
      <x:c r="B276" s="1" t="n">
        <x:v>17.52</x:v>
      </x:c>
      <x:c r="C276" s="1"/>
      <x:c r="D276" s="1" t="n">
        <x:v>1.15</x:v>
      </x:c>
      <x:c r="E276" s="1" t="n">
        <x:v>4.65</x:v>
      </x:c>
      <x:c r="F276" s="1"/>
      <x:c r="G276" s="1" t="n">
        <x:v>0.184</x:v>
      </x:c>
      <x:c r="H276" s="1" t="n">
        <x:v>18.15</x:v>
      </x:c>
      <x:c r="I276" s="1" t="str">
        <x:v>17</x:v>
      </x:c>
      <x:c r="J276" s="1" t="n">
        <x:v>20</x:v>
      </x:c>
      <x:c r="K276" s="1" t="n">
        <x:v>0</x:v>
      </x:c>
      <x:c r="L276" s="1" t="str">
        <x:v>2023-6-20</x:v>
      </x:c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  <x:c r="AA276" s="1"/>
      <x:c r="AB276" s="1"/>
      <x:c r="AC276" s="1"/>
    </x:row>
    <x:row r="277">
      <x:c r="A277" s="1" t="n">
        <x:v>17</x:v>
      </x:c>
      <x:c r="B277" s="1" t="n">
        <x:v>16.92</x:v>
      </x:c>
      <x:c r="C277" s="1"/>
      <x:c r="D277" s="1" t="n">
        <x:v>0.98</x:v>
      </x:c>
      <x:c r="E277" s="1" t="n">
        <x:v>4.15</x:v>
      </x:c>
      <x:c r="F277" s="1"/>
      <x:c r="G277" s="1" t="n">
        <x:v>0.194</x:v>
      </x:c>
      <x:c r="H277" s="1" t="n">
        <x:v>16.15</x:v>
      </x:c>
      <x:c r="I277" s="1" t="str">
        <x:v>17</x:v>
      </x:c>
      <x:c r="J277" s="1" t="n">
        <x:v>40</x:v>
      </x:c>
      <x:c r="K277" s="1" t="n">
        <x:v>20</x:v>
      </x:c>
      <x:c r="L277" s="1" t="str">
        <x:v>23171</x:v>
      </x:c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  <x:c r="AA277" s="1"/>
      <x:c r="AB277" s="1"/>
      <x:c r="AC277" s="1"/>
    </x:row>
    <x:row r="278">
      <x:c r="A278" s="1" t="n">
        <x:v>29</x:v>
      </x:c>
      <x:c r="B278" s="1" t="str">
        <x:v>-99</x:v>
      </x:c>
      <x:c r="C278" s="1"/>
      <x:c r="D278" s="1" t="n">
        <x:v>1.34</x:v>
      </x:c>
      <x:c r="E278" s="1" t="n">
        <x:v>7.3</x:v>
      </x:c>
      <x:c r="F278" s="1"/>
      <x:c r="G278" s="1" t="n">
        <x:v>0.205</x:v>
      </x:c>
      <x:c r="H278" s="1"/>
      <x:c r="I278" s="1" t="str">
        <x:v>29</x:v>
      </x:c>
      <x:c r="J278" s="1" t="n">
        <x:v>20</x:v>
      </x:c>
      <x:c r="K278" s="1" t="n">
        <x:v>0</x:v>
      </x:c>
      <x:c r="L278" s="3" t="d">
        <x:v>2024-05-16T00:00:00.000Z</x:v>
      </x:c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  <x:c r="AA278" s="1"/>
      <x:c r="AB278" s="1"/>
      <x:c r="AC278" s="1"/>
    </x:row>
    <x:row r="279">
      <x:c r="A279" s="1" t="n">
        <x:v>29</x:v>
      </x:c>
      <x:c r="B279" s="1" t="str">
        <x:v>-99</x:v>
      </x:c>
      <x:c r="C279" s="1"/>
      <x:c r="D279" s="1" t="n">
        <x:v>1.18</x:v>
      </x:c>
      <x:c r="E279" s="1" t="n">
        <x:v>6.8</x:v>
      </x:c>
      <x:c r="F279" s="1"/>
      <x:c r="G279" s="1" t="n">
        <x:v>0.215</x:v>
      </x:c>
      <x:c r="H279" s="1"/>
      <x:c r="I279" s="1" t="str">
        <x:v>29</x:v>
      </x:c>
      <x:c r="J279" s="1" t="n">
        <x:v>40</x:v>
      </x:c>
      <x:c r="K279" s="1" t="n">
        <x:v>20</x:v>
      </x:c>
      <x:c r="L279" s="1" t="str">
        <x:v> 2024-05-16</x:v>
      </x:c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  <x:c r="AA279" s="1"/>
      <x:c r="AB279" s="1"/>
      <x:c r="AC279" s="1"/>
    </x:row>
    <x:row r="280">
      <x:c r="A280" s="1" t="n">
        <x:v>29</x:v>
      </x:c>
      <x:c r="B280" s="1"/>
      <x:c r="C280" s="1"/>
      <x:c r="D280" s="1" t="n">
        <x:v>1.25</x:v>
      </x:c>
      <x:c r="E280" s="1" t="n">
        <x:v>6.4</x:v>
      </x:c>
      <x:c r="F280" s="1" t="str">
        <x:v>-99</x:v>
      </x:c>
      <x:c r="G280" s="1" t="n">
        <x:v>0.207</x:v>
      </x:c>
      <x:c r="H280" s="1" t="str">
        <x:v>-99</x:v>
      </x:c>
      <x:c r="I280" s="1" t="str">
        <x:v>29</x:v>
      </x:c>
      <x:c r="J280" s="1" t="n">
        <x:v>20</x:v>
      </x:c>
      <x:c r="K280" s="1" t="n">
        <x:v>0</x:v>
      </x:c>
      <x:c r="L280" s="1" t="str">
        <x:v>2024-6-24</x:v>
      </x:c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  <x:c r="AA280" s="1"/>
      <x:c r="AB280" s="1"/>
      <x:c r="AC280" s="1"/>
    </x:row>
    <x:row r="281">
      <x:c r="A281" s="1" t="n">
        <x:v>29</x:v>
      </x:c>
      <x:c r="B281" s="1"/>
      <x:c r="C281" s="1"/>
      <x:c r="D281" s="1" t="n">
        <x:v>1.09</x:v>
      </x:c>
      <x:c r="E281" s="1" t="n">
        <x:v>5.9</x:v>
      </x:c>
      <x:c r="F281" s="1"/>
      <x:c r="G281" s="1" t="n">
        <x:v>0.217</x:v>
      </x:c>
      <x:c r="H281" s="1"/>
      <x:c r="I281" s="1" t="str">
        <x:v>29</x:v>
      </x:c>
      <x:c r="J281" s="1" t="n">
        <x:v>40</x:v>
      </x:c>
      <x:c r="K281" s="1" t="n">
        <x:v>20</x:v>
      </x:c>
      <x:c r="L281" s="1" t="str">
        <x:v>24176</x:v>
      </x:c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  <x:c r="AA281" s="1"/>
      <x:c r="AB281" s="1"/>
      <x:c r="AC281" s="1"/>
    </x:row>
    <x:row r="282">
      <x:c r="A282" s="1" t="n">
        <x:v>29</x:v>
      </x:c>
      <x:c r="B282" s="1" t="str">
        <x:v>-99</x:v>
      </x:c>
      <x:c r="C282" s="1"/>
      <x:c r="D282" s="1" t="n">
        <x:v>1.15</x:v>
      </x:c>
      <x:c r="E282" s="1" t="n">
        <x:v>5.35</x:v>
      </x:c>
      <x:c r="F282" s="1"/>
      <x:c r="G282" s="1" t="n">
        <x:v>0.178</x:v>
      </x:c>
      <x:c r="H282" s="1"/>
      <x:c r="I282" s="1" t="str">
        <x:v>29</x:v>
      </x:c>
      <x:c r="J282" s="1" t="n">
        <x:v>20</x:v>
      </x:c>
      <x:c r="K282" s="1" t="n">
        <x:v>0</x:v>
      </x:c>
      <x:c r="L282" s="3" t="d">
        <x:v>2024-08-08T00:00:00.000Z</x:v>
      </x:c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  <x:c r="AA282" s="1"/>
      <x:c r="AB282" s="1"/>
      <x:c r="AC282" s="1"/>
    </x:row>
    <x:row r="283">
      <x:c r="A283" s="1" t="n">
        <x:v>29</x:v>
      </x:c>
      <x:c r="B283" s="1"/>
      <x:c r="C283" s="1"/>
      <x:c r="D283" s="1" t="n">
        <x:v>0.98</x:v>
      </x:c>
      <x:c r="E283" s="1" t="n">
        <x:v>4.85</x:v>
      </x:c>
      <x:c r="F283" s="1"/>
      <x:c r="G283" s="1" t="n">
        <x:v>0.188</x:v>
      </x:c>
      <x:c r="H283" s="1" t="str">
        <x:v>-99.0</x:v>
      </x:c>
      <x:c r="I283" s="1" t="str">
        <x:v>29</x:v>
      </x:c>
      <x:c r="J283" s="1" t="n">
        <x:v>40</x:v>
      </x:c>
      <x:c r="K283" s="1" t="n">
        <x:v>20</x:v>
      </x:c>
      <x:c r="L283" s="1" t="str">
        <x:v> 2024-08-08</x:v>
      </x:c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  <x:c r="AA283" s="1"/>
      <x:c r="AB283" s="1"/>
      <x:c r="AC283" s="1"/>
    </x:row>
    <x:row r="284">
      <x:c r="A284" s="1" t="n">
        <x:v>41</x:v>
      </x:c>
      <x:c r="B284" s="1" t="n">
        <x:v>18.33</x:v>
      </x:c>
      <x:c r="C284" s="1"/>
      <x:c r="D284" s="1"/>
      <x:c r="E284" s="1"/>
      <x:c r="F284" s="1" t="n">
        <x:v>0.505</x:v>
      </x:c>
      <x:c r="G284" s="1" t="n">
        <x:v>0.208</x:v>
      </x:c>
      <x:c r="H284" s="1"/>
      <x:c r="I284" s="1" t="str">
        <x:v>41</x:v>
      </x:c>
      <x:c r="J284" s="1" t="n">
        <x:v>20</x:v>
      </x:c>
      <x:c r="K284" s="1" t="n">
        <x:v>0</x:v>
      </x:c>
      <x:c r="L284" s="1" t="str">
        <x:v>2025-6-3</x:v>
      </x:c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  <x:c r="AA284" s="1"/>
      <x:c r="AB284" s="1"/>
      <x:c r="AC284" s="1"/>
    </x:row>
    <x:row r="285">
      <x:c r="A285" s="1" t="n">
        <x:v>41</x:v>
      </x:c>
      <x:c r="B285" s="1" t="n">
        <x:v>17.73</x:v>
      </x:c>
      <x:c r="C285" s="1"/>
      <x:c r="D285" s="1"/>
      <x:c r="E285" s="1"/>
      <x:c r="F285" s="1" t="n">
        <x:v>0.303</x:v>
      </x:c>
      <x:c r="G285" s="1" t="n">
        <x:v>0.218</x:v>
      </x:c>
      <x:c r="H285" s="1"/>
      <x:c r="I285" s="1" t="str">
        <x:v>41</x:v>
      </x:c>
      <x:c r="J285" s="1" t="n">
        <x:v>40</x:v>
      </x:c>
      <x:c r="K285" s="1" t="n">
        <x:v>20</x:v>
      </x:c>
      <x:c r="L285" s="1" t="str">
        <x:v>25154</x:v>
      </x:c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  <x:c r="AA285" s="1"/>
      <x:c r="AB285" s="1"/>
      <x:c r="AC285" s="1"/>
    </x:row>
    <x:row r="286">
      <x:c r="A286" s="1" t="n">
        <x:v>41</x:v>
      </x:c>
      <x:c r="B286" s="1" t="n">
        <x:v>20.8</x:v>
      </x:c>
      <x:c r="C286" s="1"/>
      <x:c r="D286" s="1" t="str">
        <x:v>-99.0</x:v>
      </x:c>
      <x:c r="E286" s="1"/>
      <x:c r="F286" s="1" t="n">
        <x:v>0.86</x:v>
      </x:c>
      <x:c r="G286" s="1" t="n">
        <x:v>0.21</x:v>
      </x:c>
      <x:c r="H286" s="1"/>
      <x:c r="I286" s="1" t="str">
        <x:v>41</x:v>
      </x:c>
      <x:c r="J286" s="1" t="n">
        <x:v>20</x:v>
      </x:c>
      <x:c r="K286" s="1" t="n">
        <x:v>0</x:v>
      </x:c>
      <x:c r="L286" s="3" t="d">
        <x:v>2025-07-06T00:00:00.000Z</x:v>
      </x:c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  <x:c r="AA286" s="1"/>
      <x:c r="AB286" s="1"/>
      <x:c r="AC286" s="1"/>
    </x:row>
    <x:row r="287">
      <x:c r="A287" s="1" t="n">
        <x:v>41</x:v>
      </x:c>
      <x:c r="B287" s="1" t="n">
        <x:v>20.2</x:v>
      </x:c>
      <x:c r="C287" s="1"/>
      <x:c r="D287" s="1"/>
      <x:c r="E287" s="1"/>
      <x:c r="F287" s="1" t="n">
        <x:v>0.516</x:v>
      </x:c>
      <x:c r="G287" s="1" t="n">
        <x:v>0.22</x:v>
      </x:c>
      <x:c r="H287" s="1"/>
      <x:c r="I287" s="1" t="str">
        <x:v>41</x:v>
      </x:c>
      <x:c r="J287" s="1" t="n">
        <x:v>40</x:v>
      </x:c>
      <x:c r="K287" s="1" t="n">
        <x:v>20</x:v>
      </x:c>
      <x:c r="L287" s="1" t="str">
        <x:v> 2025-07-06</x:v>
      </x:c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  <x:c r="AA287" s="1"/>
      <x:c r="AB287" s="1"/>
      <x:c r="AC287" s="1"/>
    </x:row>
    <x:row r="288">
      <x:c r="A288" s="1" t="n">
        <x:v>41</x:v>
      </x:c>
      <x:c r="B288" s="1" t="n">
        <x:v>17.52</x:v>
      </x:c>
      <x:c r="C288" s="1"/>
      <x:c r="D288" s="1"/>
      <x:c r="E288" s="1"/>
      <x:c r="F288" s="1" t="n">
        <x:v>0.39</x:v>
      </x:c>
      <x:c r="G288" s="1" t="n">
        <x:v>0.181</x:v>
      </x:c>
      <x:c r="H288" s="1" t="str">
        <x:v>-99</x:v>
      </x:c>
      <x:c r="I288" s="1" t="str">
        <x:v>41</x:v>
      </x:c>
      <x:c r="J288" s="1" t="n">
        <x:v>20</x:v>
      </x:c>
      <x:c r="K288" s="1" t="n">
        <x:v>0</x:v>
      </x:c>
      <x:c r="L288" s="1" t="str">
        <x:v>2025-8-14</x:v>
      </x:c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  <x:c r="AA288" s="1"/>
      <x:c r="AB288" s="1"/>
      <x:c r="AC288" s="1"/>
    </x:row>
    <x:row r="289">
      <x:c r="A289" s="1" t="n">
        <x:v>41</x:v>
      </x:c>
      <x:c r="B289" s="1" t="n">
        <x:v>16.92</x:v>
      </x:c>
      <x:c r="C289" s="1"/>
      <x:c r="D289" s="1" t="str">
        <x:v>-99</x:v>
      </x:c>
      <x:c r="E289" s="1"/>
      <x:c r="F289" s="1" t="n">
        <x:v>0.234</x:v>
      </x:c>
      <x:c r="G289" s="1" t="n">
        <x:v>0.191</x:v>
      </x:c>
      <x:c r="H289" s="1" t="str">
        <x:v>-99.0</x:v>
      </x:c>
      <x:c r="I289" s="1" t="str">
        <x:v>41</x:v>
      </x:c>
      <x:c r="J289" s="1" t="n">
        <x:v>40</x:v>
      </x:c>
      <x:c r="K289" s="1" t="n">
        <x:v>20</x:v>
      </x:c>
      <x:c r="L289" s="1" t="str">
        <x:v>25226</x:v>
      </x:c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  <x:c r="AA289" s="1"/>
      <x:c r="AB289" s="1"/>
      <x:c r="AC289" s="1"/>
    </x:row>
    <x:row r="290">
      <x:c r="A290" s="1" t="n">
        <x:v>53</x:v>
      </x:c>
      <x:c r="B290" s="1"/>
      <x:c r="C290" s="1"/>
      <x:c r="D290" s="1" t="n">
        <x:v>1.34</x:v>
      </x:c>
      <x:c r="E290" s="1" t="n">
        <x:v>8.7</x:v>
      </x:c>
      <x:c r="F290" s="1"/>
      <x:c r="G290" s="1" t="n">
        <x:v>0.211</x:v>
      </x:c>
      <x:c r="H290" s="1"/>
      <x:c r="I290" s="1" t="str">
        <x:v>53</x:v>
      </x:c>
      <x:c r="J290" s="1" t="n">
        <x:v>20</x:v>
      </x:c>
      <x:c r="K290" s="1" t="n">
        <x:v>0</x:v>
      </x:c>
      <x:c r="L290" s="3" t="d">
        <x:v>2026-04-12T00:00:00.000Z</x:v>
      </x:c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  <x:c r="AA290" s="1"/>
      <x:c r="AB290" s="1"/>
      <x:c r="AC290" s="1"/>
    </x:row>
    <x:row r="291">
      <x:c r="A291" s="1" t="n">
        <x:v>53</x:v>
      </x:c>
      <x:c r="B291" s="1"/>
      <x:c r="C291" s="1"/>
      <x:c r="D291" s="1" t="n">
        <x:v>1.18</x:v>
      </x:c>
      <x:c r="E291" s="1" t="n">
        <x:v>8.2</x:v>
      </x:c>
      <x:c r="F291" s="1"/>
      <x:c r="G291" s="1" t="n">
        <x:v>0.221</x:v>
      </x:c>
      <x:c r="H291" s="1"/>
      <x:c r="I291" s="1" t="str">
        <x:v>53</x:v>
      </x:c>
      <x:c r="J291" s="1" t="n">
        <x:v>40</x:v>
      </x:c>
      <x:c r="K291" s="1" t="n">
        <x:v>20</x:v>
      </x:c>
      <x:c r="L291" s="1" t="str">
        <x:v> 2026-04-12</x:v>
      </x:c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  <x:c r="AA291" s="1"/>
      <x:c r="AB291" s="1"/>
      <x:c r="AC291" s="1"/>
    </x:row>
    <x:row r="292">
      <x:c r="A292" s="1" t="n">
        <x:v>53</x:v>
      </x:c>
      <x:c r="B292" s="1"/>
      <x:c r="C292" s="1"/>
      <x:c r="D292" s="1" t="n">
        <x:v>1.25</x:v>
      </x:c>
      <x:c r="E292" s="1" t="n">
        <x:v>7.8</x:v>
      </x:c>
      <x:c r="F292" s="1"/>
      <x:c r="G292" s="1" t="n">
        <x:v>0.213</x:v>
      </x:c>
      <x:c r="H292" s="1"/>
      <x:c r="I292" s="1" t="str">
        <x:v>53</x:v>
      </x:c>
      <x:c r="J292" s="1" t="n">
        <x:v>20</x:v>
      </x:c>
      <x:c r="K292" s="1" t="n">
        <x:v>0</x:v>
      </x:c>
      <x:c r="L292" s="1" t="str">
        <x:v>2026-5-19</x:v>
      </x:c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  <x:c r="AA292" s="1"/>
      <x:c r="AB292" s="1"/>
      <x:c r="AC292" s="1"/>
    </x:row>
    <x:row r="293">
      <x:c r="A293" s="1" t="n">
        <x:v>53</x:v>
      </x:c>
      <x:c r="B293" s="1"/>
      <x:c r="C293" s="1"/>
      <x:c r="D293" s="1" t="n">
        <x:v>1.09</x:v>
      </x:c>
      <x:c r="E293" s="1" t="n">
        <x:v>7.3</x:v>
      </x:c>
      <x:c r="F293" s="1"/>
      <x:c r="G293" s="1" t="n">
        <x:v>0.223</x:v>
      </x:c>
      <x:c r="H293" s="1"/>
      <x:c r="I293" s="1" t="str">
        <x:v>53</x:v>
      </x:c>
      <x:c r="J293" s="1" t="n">
        <x:v>40</x:v>
      </x:c>
      <x:c r="K293" s="1" t="n">
        <x:v>20</x:v>
      </x:c>
      <x:c r="L293" s="1" t="str">
        <x:v>26139</x:v>
      </x:c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  <x:c r="AA293" s="1"/>
      <x:c r="AB293" s="1"/>
      <x:c r="AC293" s="1"/>
    </x:row>
    <x:row r="294">
      <x:c r="A294" s="1" t="n">
        <x:v>53</x:v>
      </x:c>
      <x:c r="B294" s="1"/>
      <x:c r="C294" s="1"/>
      <x:c r="D294" s="1" t="n">
        <x:v>1.15</x:v>
      </x:c>
      <x:c r="E294" s="1" t="n">
        <x:v>6.75</x:v>
      </x:c>
      <x:c r="F294" s="1"/>
      <x:c r="G294" s="1" t="n">
        <x:v>0.184</x:v>
      </x:c>
      <x:c r="H294" s="1"/>
      <x:c r="I294" s="1" t="str">
        <x:v>53</x:v>
      </x:c>
      <x:c r="J294" s="1" t="n">
        <x:v>20</x:v>
      </x:c>
      <x:c r="K294" s="1" t="n">
        <x:v>0</x:v>
      </x:c>
      <x:c r="L294" s="3" t="d">
        <x:v>2026-07-02T00:00:00.000Z</x:v>
      </x:c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  <x:c r="AA294" s="1"/>
      <x:c r="AB294" s="1"/>
      <x:c r="AC294" s="1"/>
    </x:row>
    <x:row r="295">
      <x:c r="A295" s="1" t="n">
        <x:v>53</x:v>
      </x:c>
      <x:c r="B295" s="1"/>
      <x:c r="C295" s="1"/>
      <x:c r="D295" s="1" t="n">
        <x:v>0.98</x:v>
      </x:c>
      <x:c r="E295" s="1" t="n">
        <x:v>6.25</x:v>
      </x:c>
      <x:c r="F295" s="1"/>
      <x:c r="G295" s="1" t="n">
        <x:v>0.194</x:v>
      </x:c>
      <x:c r="H295" s="1"/>
      <x:c r="I295" s="1" t="str">
        <x:v>53</x:v>
      </x:c>
      <x:c r="J295" s="1" t="n">
        <x:v>40</x:v>
      </x:c>
      <x:c r="K295" s="1" t="n">
        <x:v>20</x:v>
      </x:c>
      <x:c r="L295" s="1" t="str">
        <x:v> 2026-07-02</x:v>
      </x:c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  <x:c r="AA295" s="1"/>
      <x:c r="AB295" s="1"/>
      <x:c r="AC295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/>
  <x:pageMargins left="0.7" right="0.7" top="0.75" bottom="0.75" header="0.3" footer="0.3"/>
</x:worksheet>
</file>