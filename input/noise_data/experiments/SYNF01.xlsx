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f8386fb49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8ba954ab4d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e47bf27e74dee" /><Relationship Type="http://schemas.openxmlformats.org/officeDocument/2006/relationships/theme" Target="/xl/theme/theme1.xml" Id="R6e145943c2724924" /><Relationship Type="http://schemas.openxmlformats.org/officeDocument/2006/relationships/sharedStrings" Target="/xl/sharedStrings.xml" Id="R638523dd49174d09" /><Relationship Type="http://schemas.openxmlformats.org/officeDocument/2006/relationships/worksheet" Target="/xl/worksheets/sheet1.xml" Id="Rba8ba954ab4d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1" t="str">
        <x:v>! Synthetic field experiment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 t="str">
        <x:v>! Definitions</x:v>
      </x:c>
      <x:c r="B18" s="1" t="str">
        <x:v>Plot identification</x:v>
      </x:c>
      <x:c r="C18" s="1"/>
      <x:c r="D18" s="1" t="str">
        <x:v>Soil identifier linking from SOIL_PROFILES for a single profile</x:v>
      </x:c>
      <x:c r="E18" s="1" t="str">
        <x:v>Field, identifier usually consisting of institution+site+4 digit number</x:v>
      </x:c>
      <x:c r="F18" s="1" t="str">
        <x:v>Plot area (gross) per rep</x:v>
      </x:c>
      <x:c r="G18" s="1" t="str">
        <x:v>Plot length (gross) for single plot or treatment</x:v>
      </x:c>
      <x:c r="H18" s="1" t="str">
        <x:v>Plot width (gross) for single plot or treatment</x:v>
      </x:c>
      <x:c r="I18" s="1" t="str">
        <x:v>Plot harvest area</x:v>
      </x:c>
      <x:c r="J18" s="1" t="str">
        <x:v>Field latitude</x:v>
      </x:c>
      <x:c r="K18" s="1" t="str">
        <x:v>Field longitude, E positive, W negative</x:v>
      </x:c>
      <x:c r="L18" s="1" t="str">
        <x:v>Field slope (from horizontal)</x:v>
      </x:c>
      <x:c r="M18" s="1" t="str">
        <x:v>Unique identifier for a treatment record</x:v>
      </x:c>
      <x:c r="N18" s="1" t="str">
        <x:v>Identifier of the genotype used in the treatment</x:v>
      </x:c>
      <x:c r="O18" s="1" t="str">
        <x:v>Identifier of the weather station associated with the treatment</x:v>
      </x:c>
      <x:c r="P18" s="1" t="str">
        <x:v>Identifier of the initial-conditions treatment</x:v>
      </x:c>
      <x:c r="Q18" s="1" t="str">
        <x:v>Identifier of the planting treatment</x:v>
      </x:c>
      <x:c r="R18" s="1" t="str">
        <x:v>Identifier of the irrigation treatment</x:v>
      </x:c>
      <x:c r="S18" s="1" t="str">
        <x:v>Identifier of the fertilization treatment</x:v>
      </x:c>
      <x:c r="T18" s="1" t="str">
        <x:v>Identifier of the automatic irrigation treatment</x:v>
      </x:c>
      <x:c r="U18" s="1" t="str">
        <x:v>Identifier of the organic material application treatment</x:v>
      </x:c>
      <x:c r="V18" s="1" t="str">
        <x:v>Identifier of the chemical application treatment</x:v>
      </x:c>
      <x:c r="W18" s="1" t="str">
        <x:v>Identifier of the tillage treatment</x:v>
      </x:c>
      <x:c r="X18" s="1" t="str">
        <x:v>Identifier of the environmental modification treatment</x:v>
      </x:c>
      <x:c r="Y18" s="1" t="str">
        <x:v>Identifier of the harvest treatment</x:v>
      </x:c>
      <x:c r="Z18" s="1" t="str">
        <x:v>Identifier of the mulch treatment</x:v>
      </x:c>
      <x:c r="AA18" s="1" t="str">
        <x:v>Crop (or weed) species identifier</x:v>
      </x:c>
      <x:c r="AB18" s="1" t="str">
        <x:v>Preferred genotype identifier, potentially a cultivar, breeding line, hybrid, clone, population, or other.</x:v>
      </x:c>
      <x:c r="AC18" s="1" t="str">
        <x:v>Repeated field identifier</x:v>
      </x:c>
    </x:row>
    <x:row r="19">
      <x:c r="A19" s="1" t="str">
        <x:v>! Units</x:v>
      </x:c>
      <x:c r="B19" s="1" t="str">
        <x:v>text</x:v>
      </x:c>
      <x:c r="C19" s="1"/>
      <x:c r="D19" s="1" t="str">
        <x:v>text</x:v>
      </x:c>
      <x:c r="E19" s="1" t="str">
        <x:v>text</x:v>
      </x:c>
      <x:c r="F19" s="1" t="str">
        <x:v>m2</x:v>
      </x:c>
      <x:c r="G19" s="1" t="str">
        <x:v>m</x:v>
      </x:c>
      <x:c r="H19" s="1" t="str">
        <x:v>m</x:v>
      </x:c>
      <x:c r="I19" s="1" t="str">
        <x:v>m2</x:v>
      </x:c>
      <x:c r="J19" s="1" t="str">
        <x:v>decimal_degrees</x:v>
      </x:c>
      <x:c r="K19" s="1" t="str">
        <x:v>decimal_degrees</x:v>
      </x:c>
      <x:c r="L19" s="1" t="str">
        <x:v>percent</x:v>
      </x:c>
      <x:c r="M19" s="1" t="str">
        <x:v>text</x:v>
      </x:c>
      <x:c r="N19" s="1" t="str">
        <x:v>text</x:v>
      </x:c>
      <x:c r="O19" s="1" t="str">
        <x:v>text</x:v>
      </x:c>
      <x:c r="P19" s="1" t="str">
        <x:v>text</x:v>
      </x:c>
      <x:c r="Q19" s="1" t="str">
        <x:v>text</x:v>
      </x:c>
      <x:c r="R19" s="1" t="str">
        <x:v>text</x:v>
      </x:c>
      <x:c r="S19" s="1" t="str">
        <x:v>text</x:v>
      </x:c>
      <x:c r="T19" s="1" t="str">
        <x:v>text</x:v>
      </x:c>
      <x:c r="U19" s="1" t="str">
        <x:v>text</x:v>
      </x:c>
      <x:c r="V19" s="1" t="str">
        <x:v>text</x:v>
      </x:c>
      <x:c r="W19" s="1" t="str">
        <x:v>text</x:v>
      </x:c>
      <x:c r="X19" s="1" t="str">
        <x:v>text</x:v>
      </x:c>
      <x:c r="Y19" s="1" t="str">
        <x:v>text</x:v>
      </x:c>
      <x:c r="Z19" s="1" t="str">
        <x:v>text</x:v>
      </x:c>
      <x:c r="AA19" s="1" t="str">
        <x:v>code</x:v>
      </x:c>
      <x:c r="AB19" s="1" t="str">
        <x:v>text</x:v>
      </x:c>
      <x:c r="AC19" s="1" t="str">
        <x:v>Repeated field identifier</x:v>
      </x:c>
    </x:row>
    <x:row r="20">
      <x:c r="A20" s="2" t="str">
        <x:v>#</x:v>
      </x:c>
      <x:c r="B20" s="2" t="str">
        <x:v>PLTID</x:v>
      </x:c>
      <x:c r="C20" s="2"/>
      <x:c r="D20" s="2" t="str">
        <x:v>SOIL_ID</x:v>
      </x:c>
      <x:c r="E20" s="2" t="str">
        <x:v>field_id</x:v>
      </x:c>
      <x:c r="F20" s="2" t="str">
        <x:v>PLTA</x:v>
      </x:c>
      <x:c r="G20" s="2" t="str">
        <x:v> PLTLN </x:v>
      </x:c>
      <x:c r="H20" s="2" t="str">
        <x:v>pltwi</x:v>
      </x:c>
      <x:c r="I20" s="2" t="str">
        <x:v>PLTHA</x:v>
      </x:c>
      <x:c r="J20" s="2" t="str">
        <x:v>FL_LAT</x:v>
      </x:c>
      <x:c r="K20" s="2" t="str">
        <x:v>fl_long</x:v>
      </x:c>
      <x:c r="L20" s="2" t="str">
        <x:v> FLSL </x:v>
      </x:c>
      <x:c r="M20" s="2" t="str">
        <x:v>TRTID</x:v>
      </x:c>
      <x:c r="N20" s="2" t="str">
        <x:v>genid</x:v>
      </x:c>
      <x:c r="O20" s="2" t="str">
        <x:v>WTHSTAID</x:v>
      </x:c>
      <x:c r="P20" s="2" t="str">
        <x:v>INITC_TR</x:v>
      </x:c>
      <x:c r="Q20" s="2" t="str">
        <x:v> plttr_tr </x:v>
      </x:c>
      <x:c r="R20" s="2" t="str">
        <x:v>IRRTR_TR</x:v>
      </x:c>
      <x:c r="S20" s="2" t="str">
        <x:v>FERTT_TR</x:v>
      </x:c>
      <x:c r="T20" s="2" t="str">
        <x:v>autoi_tr</x:v>
      </x:c>
      <x:c r="U20" s="2" t="str">
        <x:v>ORGMA_TR</x:v>
      </x:c>
      <x:c r="V20" s="2" t="str">
        <x:v> CHEMA_TR </x:v>
      </x:c>
      <x:c r="W20" s="2" t="str">
        <x:v>tiltr_tr</x:v>
      </x:c>
      <x:c r="X20" s="2" t="str">
        <x:v>ENVMO_TR</x:v>
      </x:c>
      <x:c r="Y20" s="2" t="str">
        <x:v>HARVT_TR</x:v>
      </x:c>
      <x:c r="Z20" s="2" t="str">
        <x:v>multr_tr</x:v>
      </x:c>
      <x:c r="AA20" s="2" t="str">
        <x:v> CRID </x:v>
      </x:c>
      <x:c r="AB20" s="2" t="str">
        <x:v>GENO_NAME</x:v>
      </x:c>
      <x:c r="AC20" s="2" t="str">
        <x:v>ID_FIELD</x:v>
      </x:c>
    </x:row>
    <x:row r="21">
      <x:c r="A21" s="1" t="n">
        <x:v>11</x:v>
      </x:c>
      <x:c r="B21" s="1" t="str">
        <x:v>S0103</x:v>
      </x:c>
      <x:c r="C21" s="1"/>
      <x:c r="D21" s="1" t="str">
        <x:v>SYNL000001 </x:v>
      </x:c>
      <x:c r="E21" s="1" t="str">
        <x:v>S0151</x:v>
      </x:c>
      <x:c r="F21" s="1" t="n">
        <x:v>160</x:v>
      </x:c>
      <x:c r="G21" s="1" t="n">
        <x:v>20</x:v>
      </x:c>
      <x:c r="H21" s="1" t="n">
        <x:v>8</x:v>
      </x:c>
      <x:c r="I21" s="1" t="n">
        <x:v>108</x:v>
      </x:c>
      <x:c r="J21" s="1" t="n">
        <x:v>51.81</x:v>
      </x:c>
      <x:c r="K21" s="1" t="n">
        <x:v>5.515</x:v>
      </x:c>
      <x:c r="L21" s="1" t="n">
        <x:v>1.2</x:v>
      </x:c>
      <x:c r="M21" s="1" t="str">
        <x:v>S0115</x:v>
      </x:c>
      <x:c r="N21" s="1" t="str">
        <x:v>S0043</x:v>
      </x:c>
      <x:c r="O21" s="1" t="str">
        <x:v>SYN1</x:v>
      </x:c>
      <x:c r="P21" s="1" t="str">
        <x:v>S0061</x:v>
      </x:c>
      <x:c r="Q21" s="1" t="str">
        <x:v>S0097</x:v>
      </x:c>
      <x:c r="R21" s="1"/>
      <x:c r="S21" s="1"/>
      <x:c r="T21" s="1"/>
      <x:c r="U21" s="1"/>
      <x:c r="V21" s="1"/>
      <x:c r="W21" s="1"/>
      <x:c r="X21" s="1"/>
      <x:c r="Y21" s="1" t="str">
        <x:v>S0055</x:v>
      </x:c>
      <x:c r="Z21" s="1"/>
      <x:c r="AA21" s="1" t="str">
        <x:v>S0049</x:v>
      </x:c>
      <x:c r="AB21" s="1" t="str">
        <x:v>Synthetic_Wheat_01</x:v>
      </x:c>
      <x:c r="AC21" s="1" t="str">
        <x:v>S0151</x:v>
      </x:c>
    </x:row>
    <x:row r="22">
      <x:c r="A22" s="1" t="n">
        <x:v>17</x:v>
      </x:c>
      <x:c r="B22" s="1" t="str">
        <x:v>S0103</x:v>
      </x:c>
      <x:c r="C22" s="1"/>
      <x:c r="D22" s="1" t="str">
        <x:v>SYNL000001</x:v>
      </x:c>
      <x:c r="E22" s="1" t="str">
        <x:v>S0151</x:v>
      </x:c>
      <x:c r="F22" s="1" t="n">
        <x:v>160</x:v>
      </x:c>
      <x:c r="G22" s="1" t="n">
        <x:v>20</x:v>
      </x:c>
      <x:c r="H22" s="1" t="n">
        <x:v>8</x:v>
      </x:c>
      <x:c r="I22" s="1" t="n">
        <x:v>108</x:v>
      </x:c>
      <x:c r="J22" s="1" t="n">
        <x:v>51.81</x:v>
      </x:c>
      <x:c r="K22" s="1" t="n">
        <x:v>5.515</x:v>
      </x:c>
      <x:c r="L22" s="1" t="n">
        <x:v>1.2</x:v>
      </x:c>
      <x:c r="M22" s="1" t="str">
        <x:v>S0121</x:v>
      </x:c>
      <x:c r="N22" s="1" t="str">
        <x:v>S0044</x:v>
      </x:c>
      <x:c r="O22" s="1" t="str">
        <x:v>SYN1</x:v>
      </x:c>
      <x:c r="P22" s="1" t="str">
        <x:v>S0062</x:v>
      </x:c>
      <x:c r="Q22" s="1" t="str">
        <x:v>S0098</x:v>
      </x:c>
      <x:c r="R22" s="1"/>
      <x:c r="S22" s="1"/>
      <x:c r="T22" s="1"/>
      <x:c r="U22" s="1"/>
      <x:c r="V22" s="1" t="str">
        <x:v>UNKNOWN</x:v>
      </x:c>
      <x:c r="W22" s="1"/>
      <x:c r="X22" s="1"/>
      <x:c r="Y22" s="1" t="str">
        <x:v>S0056</x:v>
      </x:c>
      <x:c r="Z22" s="1"/>
      <x:c r="AA22" s="1" t="str">
        <x:v>S0050</x:v>
      </x:c>
      <x:c r="AB22" s="1" t="str">
        <x:v>Synthetic_Maize_01</x:v>
      </x:c>
      <x:c r="AC22" s="1" t="str">
        <x:v>S0151</x:v>
      </x:c>
    </x:row>
    <x:row r="23">
      <x:c r="A23" s="1" t="n">
        <x:v>23</x:v>
      </x:c>
      <x:c r="B23" s="1" t="str">
        <x:v>S0103</x:v>
      </x:c>
      <x:c r="C23" s="1"/>
      <x:c r="D23" s="1" t="str">
        <x:v>SYNL000001</x:v>
      </x:c>
      <x:c r="E23" s="1" t="str">
        <x:v>S0151</x:v>
      </x:c>
      <x:c r="F23" s="1" t="n">
        <x:v>160</x:v>
      </x:c>
      <x:c r="G23" s="1" t="n">
        <x:v>20</x:v>
      </x:c>
      <x:c r="H23" s="1" t="n">
        <x:v>8</x:v>
      </x:c>
      <x:c r="I23" s="1" t="n">
        <x:v>108</x:v>
      </x:c>
      <x:c r="J23" s="1" t="n">
        <x:v>51.81</x:v>
      </x:c>
      <x:c r="K23" s="1" t="n">
        <x:v>5.515</x:v>
      </x:c>
      <x:c r="L23" s="1" t="n">
        <x:v>1.2</x:v>
      </x:c>
      <x:c r="M23" s="1" t="str">
        <x:v>S0127</x:v>
      </x:c>
      <x:c r="N23" s="1" t="str">
        <x:v>S0045</x:v>
      </x:c>
      <x:c r="O23" s="1" t="str">
        <x:v>SYN1</x:v>
      </x:c>
      <x:c r="P23" s="1" t="str">
        <x:v>S0063</x:v>
      </x:c>
      <x:c r="Q23" s="1" t="str">
        <x:v>S0099</x:v>
      </x:c>
      <x:c r="R23" s="1"/>
      <x:c r="S23" s="1"/>
      <x:c r="T23" s="1"/>
      <x:c r="U23" s="1"/>
      <x:c r="V23" s="1"/>
      <x:c r="W23" s="1"/>
      <x:c r="X23" s="1"/>
      <x:c r="Y23" s="1" t="str">
        <x:v>S0057</x:v>
      </x:c>
      <x:c r="Z23" s="1"/>
      <x:c r="AA23" s="1" t="str">
        <x:v>S0051</x:v>
      </x:c>
      <x:c r="AB23" s="1" t="str">
        <x:v>Synthetic_Soybean_01</x:v>
      </x:c>
      <x:c r="AC23" s="1" t="str">
        <x:v>S0151</x:v>
      </x:c>
    </x:row>
    <x:row r="24">
      <x:c r="A24" s="1" t="n">
        <x:v>29</x:v>
      </x:c>
      <x:c r="B24" s="1" t="str">
        <x:v>S0103</x:v>
      </x:c>
      <x:c r="C24" s="1"/>
      <x:c r="D24" s="1" t="str">
        <x:v>SYNL000001</x:v>
      </x:c>
      <x:c r="E24" s="1" t="str">
        <x:v>S0151</x:v>
      </x:c>
      <x:c r="F24" s="1" t="n">
        <x:v>160</x:v>
      </x:c>
      <x:c r="G24" s="1" t="n">
        <x:v>20</x:v>
      </x:c>
      <x:c r="H24" s="1" t="n">
        <x:v>8</x:v>
      </x:c>
      <x:c r="I24" s="1" t="n">
        <x:v>108</x:v>
      </x:c>
      <x:c r="J24" s="1" t="n">
        <x:v>51.81</x:v>
      </x:c>
      <x:c r="K24" s="1" t="n">
        <x:v>5.515</x:v>
      </x:c>
      <x:c r="L24" s="1" t="n">
        <x:v>1.2</x:v>
      </x:c>
      <x:c r="M24" s="1" t="str">
        <x:v>S0133</x:v>
      </x:c>
      <x:c r="N24" s="1" t="str">
        <x:v>S0046</x:v>
      </x:c>
      <x:c r="O24" s="1" t="str">
        <x:v>SYN1</x:v>
      </x:c>
      <x:c r="P24" s="1" t="str">
        <x:v>S0064</x:v>
      </x:c>
      <x:c r="Q24" s="1" t="str">
        <x:v>S0100</x:v>
      </x:c>
      <x:c r="R24" s="1"/>
      <x:c r="S24" s="1"/>
      <x:c r="T24" s="1"/>
      <x:c r="U24" s="1"/>
      <x:c r="V24" s="1"/>
      <x:c r="W24" s="1"/>
      <x:c r="X24" s="1"/>
      <x:c r="Y24" s="1" t="str">
        <x:v>S0058</x:v>
      </x:c>
      <x:c r="Z24" s="1"/>
      <x:c r="AA24" s="1" t="str">
        <x:v>S0052</x:v>
      </x:c>
      <x:c r="AB24" s="1" t="str">
        <x:v>Synthetic_Barley_01</x:v>
      </x:c>
      <x:c r="AC24" s="1" t="str">
        <x:v>S0151</x:v>
      </x:c>
    </x:row>
    <x:row r="25">
      <x:c r="A25" s="1" t="str">
        <x:v>! estimated</x:v>
      </x:c>
      <x:c r="B25" s="1" t="str">
        <x:v>Synthetic structural annotation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>
      <x:c r="A27" s="1" t="str">
        <x:v>! Section</x:v>
      </x:c>
      <x:c r="B27" s="1" t="str">
        <x:v>Crop_observations_summary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>
      <x:c r="A28" s="1" t="str">
        <x:v>! Definitions</x:v>
      </x:c>
      <x:c r="B28" s="1" t="str">
        <x:v>N fixed during season</x:v>
      </x:c>
      <x:c r="C28" s="1"/>
      <x:c r="D28" s="1" t="str">
        <x:v>Phosphorus in above ground plant parts at maturity</x:v>
      </x:c>
      <x:c r="E28" s="1" t="str">
        <x:v>Grain N concentration at maturity</x:v>
      </x:c>
      <x:c r="F28" s="1" t="str">
        <x:v>Harvest index at maturity</x:v>
      </x:c>
      <x:c r="G28" s="1" t="str">
        <x:v>Tiller number per area at maturity</x:v>
      </x:c>
      <x:c r="H28" s="1" t="str">
        <x:v>Panicle number per area at maturity</x:v>
      </x:c>
      <x:c r="I28" s="1" t="str">
        <x:v>Pod, ear, panicle number per area at maturity</x:v>
      </x:c>
      <x:c r="J28" s="1" t="str">
        <x:v>Plant height (e.g., including spikes above canopy per se), maximum value in season</x:v>
      </x:c>
      <x:c r="K28" s="1" t="str">
        <x:v>Grain dry wt at maturity</x:v>
      </x:c>
      <x:c r="L28" s="1" t="str">
        <x:v>Tops dry weight at anthesis</x:v>
      </x:c>
      <x:c r="M28" s="1" t="str">
        <x:v>Grain starch concentration at maturity</x:v>
      </x:c>
      <x:c r="N28" s="1" t="str">
        <x:v>Grain protein concentration at maturity</x:v>
      </x:c>
      <x:c r="O28" s="1" t="str">
        <x:v>Grain oil concentration at maturity</x:v>
      </x:c>
      <x:c r="P28" s="1" t="str">
        <x:v>Leaf area index, maximum</x:v>
      </x:c>
      <x:c r="Q28" s="1" t="str">
        <x:v>Tops dry weight at harvest</x:v>
      </x:c>
      <x:c r="R28" s="1" t="str">
        <x:v>Growth stage, silking date; use YYYY-MM-DD.</x:v>
      </x:c>
      <x:c r="S28" s="1" t="str">
        <x:v>Growth stage date, harvest; use YYYY-MM-DD.</x:v>
      </x:c>
      <x:c r="T28" s="1" t="str">
        <x:v>Growth stage of physiol. maturity, as date; use YYYY-MM-DD.</x:v>
      </x:c>
      <x:c r="U28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V28" s="1" t="str">
        <x:v>Growth stage date, anthesis; use YYYY-MM-DD.</x:v>
      </x:c>
      <x:c r="W28" s="1" t="str">
        <x:v>date helper</x:v>
      </x:c>
      <x:c r="X28" s="1" t="str">
        <x:v>date helper</x:v>
      </x:c>
      <x:c r="Y28" s="1"/>
      <x:c r="Z28" s="1"/>
      <x:c r="AA28" s="1"/>
      <x:c r="AB28" s="1"/>
      <x:c r="AC28" s="1"/>
    </x:row>
    <x:row r="29">
      <x:c r="A29" s="1" t="str">
        <x:v>! Units</x:v>
      </x:c>
      <x:c r="B29" s="1" t="str">
        <x:v>kg/ha</x:v>
      </x:c>
      <x:c r="C29" s="1"/>
      <x:c r="D29" s="1" t="str">
        <x:v>kg/ha</x:v>
      </x:c>
      <x:c r="E29" s="1" t="str">
        <x:v>%</x:v>
      </x:c>
      <x:c r="F29" s="1" t="str">
        <x:v>unitless</x:v>
      </x:c>
      <x:c r="G29" s="1" t="str">
        <x:v>number/m2</x:v>
      </x:c>
      <x:c r="H29" s="1" t="str">
        <x:v>number/m2</x:v>
      </x:c>
      <x:c r="I29" s="1" t="str">
        <x:v>number/m2</x:v>
      </x:c>
      <x:c r="J29" s="1" t="str">
        <x:v>m</x:v>
      </x:c>
      <x:c r="K29" s="1" t="str">
        <x:v>kg/ha</x:v>
      </x:c>
      <x:c r="L29" s="1" t="str">
        <x:v>kg/ha</x:v>
      </x:c>
      <x:c r="M29" s="1" t="str">
        <x:v>%</x:v>
      </x:c>
      <x:c r="N29" s="1" t="str">
        <x:v>%</x:v>
      </x:c>
      <x:c r="O29" s="1" t="str">
        <x:v>%</x:v>
      </x:c>
      <x:c r="P29" s="1" t="str">
        <x:v>m2/m2</x:v>
      </x:c>
      <x:c r="Q29" s="1" t="str">
        <x:v>kg/ha</x:v>
      </x:c>
      <x:c r="R29" s="1" t="str">
        <x:v>date</x:v>
      </x:c>
      <x:c r="S29" s="1" t="str">
        <x:v>date</x:v>
      </x:c>
      <x:c r="T29" s="1" t="str">
        <x:v>date</x:v>
      </x:c>
      <x:c r="U29" s="1" t="str">
        <x:v>text</x:v>
      </x:c>
      <x:c r="V29" s="1" t="str">
        <x:v>date</x:v>
      </x:c>
      <x:c r="W29" s="1" t="str">
        <x:v>date helper</x:v>
      </x:c>
      <x:c r="X29" s="1" t="str">
        <x:v>date helper</x:v>
      </x:c>
      <x:c r="Y29" s="1"/>
      <x:c r="Z29" s="1"/>
      <x:c r="AA29" s="1"/>
      <x:c r="AB29" s="1"/>
      <x:c r="AC29" s="1"/>
    </x:row>
    <x:row r="30">
      <x:c r="A30" s="2" t="str">
        <x:v>%</x:v>
      </x:c>
      <x:c r="B30" s="2" t="str">
        <x:v> NFXM </x:v>
      </x:c>
      <x:c r="C30" s="2"/>
      <x:c r="D30" s="2" t="str">
        <x:v>CPAM</x:v>
      </x:c>
      <x:c r="E30" s="2" t="str">
        <x:v>gn%m</x:v>
      </x:c>
      <x:c r="F30" s="2" t="str">
        <x:v>HIAM</x:v>
      </x:c>
      <x:c r="G30" s="2" t="str">
        <x:v>T#AM</x:v>
      </x:c>
      <x:c r="H30" s="2" t="str">
        <x:v> pn#am </x:v>
      </x:c>
      <x:c r="I30" s="2" t="str">
        <x:v>PD#AM</x:v>
      </x:c>
      <x:c r="J30" s="2" t="str">
        <x:v>PHTX</x:v>
      </x:c>
      <x:c r="K30" s="2" t="str">
        <x:v>gwam</x:v>
      </x:c>
      <x:c r="L30" s="2" t="str">
        <x:v>CWAA</x:v>
      </x:c>
      <x:c r="M30" s="2" t="str">
        <x:v> GS%M </x:v>
      </x:c>
      <x:c r="N30" s="2" t="str">
        <x:v>gpr%m</x:v>
      </x:c>
      <x:c r="O30" s="2" t="str">
        <x:v>GL%M</x:v>
      </x:c>
      <x:c r="P30" s="2" t="str">
        <x:v>LAIX</x:v>
      </x:c>
      <x:c r="Q30" s="2" t="str">
        <x:v>cwah</x:v>
      </x:c>
      <x:c r="R30" s="2" t="str">
        <x:v> SKDAT </x:v>
      </x:c>
      <x:c r="S30" s="2" t="str">
        <x:v>HDATE</x:v>
      </x:c>
      <x:c r="T30" s="2" t="str">
        <x:v>mdat</x:v>
      </x:c>
      <x:c r="U30" s="2" t="str">
        <x:v>GRPPL_CO</x:v>
      </x:c>
      <x:c r="V30" s="2" t="str">
        <x:v>ADAT</x:v>
      </x:c>
      <x:c r="W30" s="2" t="str">
        <x:v>!YEAR</x:v>
      </x:c>
      <x:c r="X30" s="2" t="str">
        <x:v>!DOY</x:v>
      </x:c>
      <x:c r="Y30" s="2"/>
      <x:c r="Z30" s="2"/>
      <x:c r="AA30" s="2"/>
      <x:c r="AB30" s="2"/>
      <x:c r="AC30" s="2"/>
    </x:row>
    <x:row r="31">
      <x:c r="A31" s="1" t="n">
        <x:v>11</x:v>
      </x:c>
      <x:c r="B31" s="1"/>
      <x:c r="C31" s="1"/>
      <x:c r="D31" s="1" t="n">
        <x:v>17.6</x:v>
      </x:c>
      <x:c r="E31" s="1" t="str">
        <x:v>-99</x:v>
      </x:c>
      <x:c r="F31" s="1" t="n">
        <x:v>0.44</x:v>
      </x:c>
      <x:c r="G31" s="1" t="n">
        <x:v>264</x:v>
      </x:c>
      <x:c r="H31" s="1"/>
      <x:c r="I31" s="1"/>
      <x:c r="J31" s="1"/>
      <x:c r="K31" s="1" t="n">
        <x:v>8800</x:v>
      </x:c>
      <x:c r="L31" s="1" t="n">
        <x:v>4304</x:v>
      </x:c>
      <x:c r="M31" s="1"/>
      <x:c r="N31" s="1" t="n">
        <x:v>10.5</x:v>
      </x:c>
      <x:c r="O31" s="1"/>
      <x:c r="P31" s="1" t="n">
        <x:v>3.6</x:v>
      </x:c>
      <x:c r="Q31" s="1" t="n">
        <x:v>3872</x:v>
      </x:c>
      <x:c r="R31" s="1"/>
      <x:c r="S31" s="1" t="str">
        <x:v>23189</x:v>
      </x:c>
      <x:c r="T31" s="1" t="str">
        <x:v>2023-6-28</x:v>
      </x:c>
      <x:c r="U31" s="1" t="str">
        <x:v>11</x:v>
      </x:c>
      <x:c r="V31" s="1" t="str">
        <x:v> 2023-05-21</x:v>
      </x:c>
      <x:c r="W31" s="1" t="n">
        <x:f>YEAR(DATE(2023,5,21))</x:f>
        <x:v>2023</x:v>
      </x:c>
      <x:c r="X31" s="1" t="n">
        <x:f>DATE(2023,5,21)-DATE(2023,1,1)+1</x:f>
        <x:v>141</x:v>
      </x:c>
      <x:c r="Y31" s="1"/>
      <x:c r="Z31" s="1"/>
      <x:c r="AA31" s="1"/>
      <x:c r="AB31" s="1"/>
      <x:c r="AC31" s="1"/>
    </x:row>
    <x:row r="32">
      <x:c r="A32" s="1" t="n">
        <x:v>17</x:v>
      </x:c>
      <x:c r="B32" s="1" t="str">
        <x:v>-99.0</x:v>
      </x:c>
      <x:c r="C32" s="1"/>
      <x:c r="D32" s="1"/>
      <x:c r="E32" s="1" t="n">
        <x:v>1.9</x:v>
      </x:c>
      <x:c r="F32" s="1"/>
      <x:c r="G32" s="1"/>
      <x:c r="H32" s="1"/>
      <x:c r="I32" s="1"/>
      <x:c r="J32" s="1" t="n">
        <x:v>2.376</x:v>
      </x:c>
      <x:c r="K32" s="1"/>
      <x:c r="L32" s="1"/>
      <x:c r="M32" s="1" t="n">
        <x:v>69.5</x:v>
      </x:c>
      <x:c r="N32" s="1"/>
      <x:c r="O32" s="1"/>
      <x:c r="P32" s="1" t="n">
        <x:v>4.4</x:v>
      </x:c>
      <x:c r="Q32" s="1" t="n">
        <x:v>14400</x:v>
      </x:c>
      <x:c r="R32" s="1" t="str">
        <x:v> 2024-07-09</x:v>
      </x:c>
      <x:c r="S32" s="3" t="d">
        <x:v>2024-08-28T00:00:00.000Z</x:v>
      </x:c>
      <x:c r="T32" s="1" t="str">
        <x:v>-99</x:v>
      </x:c>
      <x:c r="U32" s="1" t="str">
        <x:v>17</x:v>
      </x:c>
      <x:c r="V32" s="1"/>
      <x:c r="W32" s="1"/>
      <x:c r="X32" s="1"/>
      <x:c r="Y32" s="1"/>
      <x:c r="Z32" s="1"/>
      <x:c r="AA32" s="1"/>
      <x:c r="AB32" s="1"/>
      <x:c r="AC32" s="1"/>
    </x:row>
    <x:row r="33">
      <x:c r="A33" s="1" t="n">
        <x:v>23</x:v>
      </x:c>
      <x:c r="B33" s="1" t="n">
        <x:v>72</x:v>
      </x:c>
      <x:c r="C33" s="1"/>
      <x:c r="D33" s="1" t="n">
        <x:v>12.8</x:v>
      </x:c>
      <x:c r="E33" s="1"/>
      <x:c r="F33" s="1" t="n">
        <x:v>0.38</x:v>
      </x:c>
      <x:c r="G33" s="1" t="str">
        <x:v>-99.0</x:v>
      </x:c>
      <x:c r="H33" s="1"/>
      <x:c r="I33" s="1" t="n">
        <x:v>480</x:v>
      </x:c>
      <x:c r="J33" s="1"/>
      <x:c r="K33" s="1" t="n">
        <x:v>2432</x:v>
      </x:c>
      <x:c r="L33" s="1" t="n">
        <x:v>3130</x:v>
      </x:c>
      <x:c r="M33" s="1" t="str">
        <x:v>-99.0</x:v>
      </x:c>
      <x:c r="N33" s="1"/>
      <x:c r="O33" s="1" t="n">
        <x:v>19.5</x:v>
      </x:c>
      <x:c r="P33" s="1" t="n">
        <x:v>3.36</x:v>
      </x:c>
      <x:c r="Q33" s="1"/>
      <x:c r="R33" s="1"/>
      <x:c r="S33" s="1"/>
      <x:c r="T33" s="1" t="str">
        <x:v>25232</x:v>
      </x:c>
      <x:c r="U33" s="1" t="str">
        <x:v>23</x:v>
      </x:c>
      <x:c r="V33" s="1" t="str">
        <x:v>2025-7-17</x:v>
      </x:c>
      <x:c r="W33" s="1" t="n">
        <x:f>YEAR(DATE(2025,7,17))</x:f>
        <x:v>2025</x:v>
      </x:c>
      <x:c r="X33" s="1" t="n">
        <x:f>DATE(2025,7,17)-DATE(2025,1,1)+1</x:f>
        <x:v>198</x:v>
      </x:c>
      <x:c r="Y33" s="1"/>
      <x:c r="Z33" s="1"/>
      <x:c r="AA33" s="1"/>
      <x:c r="AB33" s="1"/>
      <x:c r="AC33" s="1"/>
    </x:row>
    <x:row r="34">
      <x:c r="A34" s="1" t="n">
        <x:v>29</x:v>
      </x:c>
      <x:c r="B34" s="1"/>
      <x:c r="C34" s="1"/>
      <x:c r="D34" s="1"/>
      <x:c r="E34" s="1" t="n">
        <x:v>1.8</x:v>
      </x:c>
      <x:c r="F34" s="1"/>
      <x:c r="G34" s="1" t="str">
        <x:v>-99</x:v>
      </x:c>
      <x:c r="H34" s="1"/>
      <x:c r="I34" s="1"/>
      <x:c r="J34" s="1" t="n">
        <x:v>0.891</x:v>
      </x:c>
      <x:c r="K34" s="1" t="n">
        <x:v>3268</x:v>
      </x:c>
      <x:c r="L34" s="1"/>
      <x:c r="M34" s="1"/>
      <x:c r="N34" s="1" t="n">
        <x:v>11.4</x:v>
      </x:c>
      <x:c r="O34" s="1"/>
      <x:c r="P34" s="1" t="n">
        <x:v>3.2</x:v>
      </x:c>
      <x:c r="Q34" s="1" t="n">
        <x:v>7600</x:v>
      </x:c>
      <x:c r="R34" s="1"/>
      <x:c r="S34" s="1" t="str">
        <x:v> 2026-07-21</x:v>
      </x:c>
      <x:c r="T34" s="3" t="d">
        <x:v>2026-07-11T00:00:00.000Z</x:v>
      </x:c>
      <x:c r="U34" s="1" t="str">
        <x:v>29</x:v>
      </x:c>
      <x:c r="V34" s="1"/>
      <x:c r="W34" s="1"/>
      <x:c r="X34" s="1"/>
      <x:c r="Y34" s="1"/>
      <x:c r="Z34" s="1"/>
      <x:c r="AA34" s="1"/>
      <x:c r="AB34" s="1"/>
      <x:c r="AC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>
      <x:c r="A36" s="1" t="str">
        <x:v>! Section</x:v>
      </x:c>
      <x:c r="B36" s="1" t="str">
        <x:v>Crop_observations_timeseries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>
      <x:c r="A37" s="1" t="str">
        <x:v>! Definitions</x:v>
      </x:c>
      <x:c r="B37" s="1" t="str">
        <x:v>Date of measurement; use YYYY-MM-DD.</x:v>
      </x:c>
      <x:c r="C37" s="1"/>
      <x:c r="D37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E37" s="1" t="str">
        <x:v>Canopy height</x:v>
      </x:c>
      <x:c r="F37" s="1" t="str">
        <x:v>Plant_height (e.g., including spikes above canopy per se)</x:v>
      </x:c>
      <x:c r="G37" s="1" t="str">
        <x:v>Dry weight of above-ground parts</x:v>
      </x:c>
      <x:c r="H37" s="1" t="str">
        <x:v>Grain dry weight</x:v>
      </x:c>
      <x:c r="I37" s="1" t="str">
        <x:v>Leaf dry weight</x:v>
      </x:c>
      <x:c r="J37" s="1" t="str">
        <x:v>Root dry weight</x:v>
      </x:c>
      <x:c r="K37" s="1" t="str">
        <x:v>Stem dry weight</x:v>
      </x:c>
      <x:c r="L37" s="1" t="str">
        <x:v>Root depth, maximum extent at date</x:v>
      </x:c>
      <x:c r="M37" s="1" t="str">
        <x:v>Leaf area index on a given day</x:v>
      </x:c>
      <x:c r="N37" s="1" t="str">
        <x:v>Leaf number per main stem</x:v>
      </x:c>
      <x:c r="O37" s="1" t="str">
        <x:v>Plant density on sampling date</x:v>
      </x:c>
      <x:c r="P37" s="1" t="str">
        <x:v>Leaf N concentration</x:v>
      </x:c>
      <x:c r="Q37" s="1" t="str">
        <x:v>Nitrogen in above ground plant parts</x:v>
      </x:c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>
      <x:c r="A38" s="1" t="str">
        <x:v>! Units</x:v>
      </x:c>
      <x:c r="B38" s="1" t="str">
        <x:v>date</x:v>
      </x:c>
      <x:c r="C38" s="1"/>
      <x:c r="D38" s="1" t="str">
        <x:v>text</x:v>
      </x:c>
      <x:c r="E38" s="1" t="str">
        <x:v>m</x:v>
      </x:c>
      <x:c r="F38" s="1" t="str">
        <x:v>m</x:v>
      </x:c>
      <x:c r="G38" s="1" t="str">
        <x:v>kg/ha</x:v>
      </x:c>
      <x:c r="H38" s="1" t="str">
        <x:v>kg/ha</x:v>
      </x:c>
      <x:c r="I38" s="1" t="str">
        <x:v>kg/ha</x:v>
      </x:c>
      <x:c r="J38" s="1" t="str">
        <x:v>kg/ha</x:v>
      </x:c>
      <x:c r="K38" s="1" t="str">
        <x:v>kg/ha</x:v>
      </x:c>
      <x:c r="L38" s="1" t="str">
        <x:v>m</x:v>
      </x:c>
      <x:c r="M38" s="1" t="str">
        <x:v>m2/m2</x:v>
      </x:c>
      <x:c r="N38" s="1" t="str">
        <x:v>number</x:v>
      </x:c>
      <x:c r="O38" s="1" t="str">
        <x:v>number/m2</x:v>
      </x:c>
      <x:c r="P38" s="1" t="str">
        <x:v>%</x:v>
      </x:c>
      <x:c r="Q38" s="1" t="str">
        <x:v>kg[N]/ha</x:v>
      </x:c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>
      <x:c r="A39" s="2" t="str">
        <x:v>%</x:v>
      </x:c>
      <x:c r="B39" s="2" t="str">
        <x:v>DATE</x:v>
      </x:c>
      <x:c r="C39" s="2"/>
      <x:c r="D39" s="2" t="str">
        <x:v>GRPPL_CO</x:v>
      </x:c>
      <x:c r="E39" s="2" t="str">
        <x:v>chtd</x:v>
      </x:c>
      <x:c r="F39" s="2" t="str">
        <x:v>PHTD</x:v>
      </x:c>
      <x:c r="G39" s="2" t="str">
        <x:v> CWAD </x:v>
      </x:c>
      <x:c r="H39" s="2" t="str">
        <x:v>gwad</x:v>
      </x:c>
      <x:c r="I39" s="2" t="str">
        <x:v>LWAD</x:v>
      </x:c>
      <x:c r="J39" s="2" t="str">
        <x:v>RWAD</x:v>
      </x:c>
      <x:c r="K39" s="2" t="str">
        <x:v>swad</x:v>
      </x:c>
      <x:c r="L39" s="2" t="str">
        <x:v> RDPI </x:v>
      </x:c>
      <x:c r="M39" s="2" t="str">
        <x:v>LAID</x:v>
      </x:c>
      <x:c r="N39" s="2" t="str">
        <x:v>l#sd</x:v>
      </x:c>
      <x:c r="O39" s="2" t="str">
        <x:v>PLPAD</x:v>
      </x:c>
      <x:c r="P39" s="2" t="str">
        <x:v>LN%D</x:v>
      </x:c>
      <x:c r="Q39" s="2" t="str">
        <x:v> cnad </x:v>
      </x:c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</x:row>
    <x:row r="40">
      <x:c r="A40" s="1" t="n">
        <x:v>11</x:v>
      </x:c>
      <x:c r="B40" s="1" t="str">
        <x:v>2023-3-28</x:v>
      </x:c>
      <x:c r="C40" s="1"/>
      <x:c r="D40" s="1" t="str">
        <x:v>11</x:v>
      </x:c>
      <x:c r="E40" s="1"/>
      <x:c r="F40" s="1" t="n">
        <x:v>0.208</x:v>
      </x:c>
      <x:c r="G40" s="1" t="str">
        <x:v>-99.0</x:v>
      </x:c>
      <x:c r="H40" s="1"/>
      <x:c r="I40" s="1" t="n">
        <x:v>93</x:v>
      </x:c>
      <x:c r="J40" s="1"/>
      <x:c r="K40" s="1" t="n">
        <x:v>185</x:v>
      </x:c>
      <x:c r="L40" s="1" t="n">
        <x:v>0.26</x:v>
      </x:c>
      <x:c r="M40" s="1" t="n">
        <x:v>0.9</x:v>
      </x:c>
      <x:c r="N40" s="1"/>
      <x:c r="O40" s="1" t="n">
        <x:v>212.08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>
      <x:c r="A41" s="1" t="n">
        <x:v>11</x:v>
      </x:c>
      <x:c r="B41" s="1" t="str">
        <x:v>23135</x:v>
      </x:c>
      <x:c r="C41" s="1"/>
      <x:c r="D41" s="1" t="str">
        <x:v>11</x:v>
      </x:c>
      <x:c r="E41" s="1"/>
      <x:c r="F41" s="1"/>
      <x:c r="G41" s="1" t="n">
        <x:v>3811</x:v>
      </x:c>
      <x:c r="H41" s="1"/>
      <x:c r="I41" s="1" t="n">
        <x:v>572</x:v>
      </x:c>
      <x:c r="J41" s="1"/>
      <x:c r="K41" s="1" t="n">
        <x:v>1143</x:v>
      </x:c>
      <x:c r="L41" s="1"/>
      <x:c r="M41" s="1" t="n">
        <x:v>3.3</x:v>
      </x:c>
      <x:c r="N41" s="1"/>
      <x:c r="O41" s="1" t="n">
        <x:v>208.56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>
      <x:c r="A42" s="1" t="n">
        <x:v>11</x:v>
      </x:c>
      <x:c r="B42" s="3" t="d">
        <x:v>2023-07-02T00:00:00.000Z</x:v>
      </x:c>
      <x:c r="C42" s="1"/>
      <x:c r="D42" s="1" t="str">
        <x:v>11</x:v>
      </x:c>
      <x:c r="E42" s="1"/>
      <x:c r="F42" s="1" t="n">
        <x:v>1.04</x:v>
      </x:c>
      <x:c r="G42" s="1" t="n">
        <x:v>8190</x:v>
      </x:c>
      <x:c r="H42" s="1" t="n">
        <x:v>3872</x:v>
      </x:c>
      <x:c r="I42" s="1" t="n">
        <x:v>1228</x:v>
      </x:c>
      <x:c r="J42" s="1"/>
      <x:c r="K42" s="1" t="n">
        <x:v>2457</x:v>
      </x:c>
      <x:c r="L42" s="1"/>
      <x:c r="M42" s="1" t="n">
        <x:v>1.33</x:v>
      </x:c>
      <x:c r="N42" s="1"/>
      <x:c r="O42" s="1" t="n">
        <x:v>205.04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>
      <x:c r="A43" s="1" t="n">
        <x:v>17</x:v>
      </x:c>
      <x:c r="B43" s="1" t="str">
        <x:v> 2024-05-10</x:v>
      </x:c>
      <x:c r="C43" s="1"/>
      <x:c r="D43" s="1" t="str">
        <x:v>17</x:v>
      </x:c>
      <x:c r="E43" s="1"/>
      <x:c r="F43" s="1"/>
      <x:c r="G43" s="1" t="n">
        <x:v>1011</x:v>
      </x:c>
      <x:c r="H43" s="1"/>
      <x:c r="I43" s="1"/>
      <x:c r="J43" s="1"/>
      <x:c r="K43" s="1" t="n">
        <x:v>189</x:v>
      </x:c>
      <x:c r="L43" s="1"/>
      <x:c r="M43" s="1" t="n">
        <x:v>0.323</x:v>
      </x:c>
      <x:c r="N43" s="1" t="n">
        <x:v>1.1</x:v>
      </x:c>
      <x:c r="O43" s="1" t="n">
        <x:v>4.3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 t="n">
        <x:v>17</x:v>
      </x:c>
      <x:c r="B44" s="1" t="str">
        <x:v>2024-6-5</x:v>
      </x:c>
      <x:c r="C44" s="1"/>
      <x:c r="D44" s="1" t="str">
        <x:v>17</x:v>
      </x:c>
      <x:c r="E44" s="1"/>
      <x:c r="F44" s="1" t="n">
        <x:v>1.109</x:v>
      </x:c>
      <x:c r="G44" s="1" t="n">
        <x:v>3312</x:v>
      </x:c>
      <x:c r="H44" s="1"/>
      <x:c r="I44" s="1"/>
      <x:c r="J44" s="1"/>
      <x:c r="K44" s="1" t="n">
        <x:v>605</x:v>
      </x:c>
      <x:c r="L44" s="1"/>
      <x:c r="M44" s="1" t="n">
        <x:v>0.483</x:v>
      </x:c>
      <x:c r="N44" s="1" t="n">
        <x:v>2.57</x:v>
      </x:c>
      <x:c r="O44" s="1" t="n">
        <x:v>9.8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 t="n">
        <x:v>17</x:v>
      </x:c>
      <x:c r="B45" s="1" t="str">
        <x:v>24209</x:v>
      </x:c>
      <x:c r="C45" s="1"/>
      <x:c r="D45" s="1" t="str">
        <x:v>17</x:v>
      </x:c>
      <x:c r="E45" s="1" t="str">
        <x:v>-99.0</x:v>
      </x:c>
      <x:c r="F45" s="1"/>
      <x:c r="G45" s="1" t="str">
        <x:v>-99.0</x:v>
      </x:c>
      <x:c r="H45" s="1"/>
      <x:c r="I45" s="1"/>
      <x:c r="J45" s="1" t="n">
        <x:v>1745</x:v>
      </x:c>
      <x:c r="K45" s="1"/>
      <x:c r="L45" s="1" t="n">
        <x:v>0.803</x:v>
      </x:c>
      <x:c r="M45" s="1" t="n">
        <x:v>3.21</x:v>
      </x:c>
      <x:c r="N45" s="1" t="n">
        <x:v>18</x:v>
      </x:c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1" t="n">
        <x:v>17</x:v>
      </x:c>
      <x:c r="B46" s="3" t="d">
        <x:v>2024-08-22T00:00:00.000Z</x:v>
      </x:c>
      <x:c r="C46" s="1"/>
      <x:c r="D46" s="1" t="str">
        <x:v>17</x:v>
      </x:c>
      <x:c r="E46" s="1"/>
      <x:c r="F46" s="1" t="n">
        <x:v>2.376</x:v>
      </x:c>
      <x:c r="G46" s="1" t="n">
        <x:v>13402</x:v>
      </x:c>
      <x:c r="H46" s="1"/>
      <x:c r="I46" s="1"/>
      <x:c r="J46" s="1" t="n">
        <x:v>2426</x:v>
      </x:c>
      <x:c r="K46" s="1" t="str">
        <x:v>-99.0</x:v>
      </x:c>
      <x:c r="L46" s="1" t="n">
        <x:v>0.963</x:v>
      </x:c>
      <x:c r="M46" s="1" t="n">
        <x:v>1.63</x:v>
      </x:c>
      <x:c r="N46" s="1"/>
      <x:c r="O46" s="1" t="n">
        <x:v>18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>
      <x:c r="A47" s="1" t="n">
        <x:v>23</x:v>
      </x:c>
      <x:c r="B47" s="1" t="str">
        <x:v> 2025-05-28</x:v>
      </x:c>
      <x:c r="C47" s="1"/>
      <x:c r="D47" s="1" t="str">
        <x:v>23</x:v>
      </x:c>
      <x:c r="E47" s="1" t="n">
        <x:v>0.164</x:v>
      </x:c>
      <x:c r="F47" s="1" t="n">
        <x:v>0.188</x:v>
      </x:c>
      <x:c r="G47" s="1" t="n">
        <x:v>449</x:v>
      </x:c>
      <x:c r="H47" s="1"/>
      <x:c r="I47" s="1" t="str">
        <x:v>-99</x:v>
      </x:c>
      <x:c r="J47" s="1"/>
      <x:c r="K47" s="1"/>
      <x:c r="L47" s="1"/>
      <x:c r="M47" s="1" t="n">
        <x:v>0.84</x:v>
      </x:c>
      <x:c r="N47" s="1"/>
      <x:c r="O47" s="1"/>
      <x:c r="P47" s="1" t="n">
        <x:v>3.61</x:v>
      </x:c>
      <x:c r="Q47" s="1" t="n">
        <x:v>6.46</x:v>
      </x:c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>
      <x:c r="A48" s="1" t="n">
        <x:v>23</x:v>
      </x:c>
      <x:c r="B48" s="1" t="str">
        <x:v>2025-6-19</x:v>
      </x:c>
      <x:c r="C48" s="1"/>
      <x:c r="D48" s="1" t="str">
        <x:v>23</x:v>
      </x:c>
      <x:c r="E48" s="1" t="n">
        <x:v>0.39</x:v>
      </x:c>
      <x:c r="F48" s="1"/>
      <x:c r="G48" s="1"/>
      <x:c r="H48" s="1"/>
      <x:c r="I48" s="1"/>
      <x:c r="J48" s="1"/>
      <x:c r="K48" s="1" t="str">
        <x:v>-99</x:v>
      </x:c>
      <x:c r="L48" s="1"/>
      <x:c r="M48" s="1" t="n">
        <x:v>1.96</x:v>
      </x:c>
      <x:c r="N48" s="1"/>
      <x:c r="O48" s="1"/>
      <x:c r="P48" s="1" t="n">
        <x:v>3.35</x:v>
      </x:c>
      <x:c r="Q48" s="1" t="n">
        <x:v>21.68</x:v>
      </x:c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>
      <x:c r="A49" s="1" t="n">
        <x:v>23</x:v>
      </x:c>
      <x:c r="B49" s="1" t="str">
        <x:v>25193</x:v>
      </x:c>
      <x:c r="C49" s="1"/>
      <x:c r="D49" s="1" t="str">
        <x:v>23</x:v>
      </x:c>
      <x:c r="E49" s="1" t="n">
        <x:v>0.626</x:v>
      </x:c>
      <x:c r="F49" s="1" t="n">
        <x:v>0.69</x:v>
      </x:c>
      <x:c r="G49" s="1" t="n">
        <x:v>2771</x:v>
      </x:c>
      <x:c r="H49" s="1"/>
      <x:c r="I49" s="1"/>
      <x:c r="J49" s="1"/>
      <x:c r="K49" s="1"/>
      <x:c r="L49" s="1"/>
      <x:c r="M49" s="1" t="n">
        <x:v>3.08</x:v>
      </x:c>
      <x:c r="N49" s="1"/>
      <x:c r="O49" s="1"/>
      <x:c r="P49" s="1" t="n">
        <x:v>3.08</x:v>
      </x:c>
      <x:c r="Q49" s="1" t="n">
        <x:v>42.05</x:v>
      </x:c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>
      <x:c r="A50" s="1" t="n">
        <x:v>23</x:v>
      </x:c>
      <x:c r="B50" s="3" t="d">
        <x:v>2025-08-02T00:00:00.000Z</x:v>
      </x:c>
      <x:c r="C50" s="1"/>
      <x:c r="D50" s="1" t="str">
        <x:v>23</x:v>
      </x:c>
      <x:c r="E50" s="1" t="n">
        <x:v>0.841</x:v>
      </x:c>
      <x:c r="F50" s="1"/>
      <x:c r="G50" s="1" t="n">
        <x:v>4278</x:v>
      </x:c>
      <x:c r="H50" s="1"/>
      <x:c r="I50" s="1"/>
      <x:c r="J50" s="1"/>
      <x:c r="K50" s="1"/>
      <x:c r="L50" s="1"/>
      <x:c r="M50" s="1" t="n">
        <x:v>2.45</x:v>
      </x:c>
      <x:c r="N50" s="1"/>
      <x:c r="O50" s="1"/>
      <x:c r="P50" s="1" t="n">
        <x:v>2.83</x:v>
      </x:c>
      <x:c r="Q50" s="1" t="n">
        <x:v>63.63</x:v>
      </x:c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>
      <x:c r="A51" s="1" t="n">
        <x:v>23</x:v>
      </x:c>
      <x:c r="B51" s="1" t="str">
        <x:v> 2025-08-24</x:v>
      </x:c>
      <x:c r="C51" s="1"/>
      <x:c r="D51" s="1" t="str">
        <x:v>23</x:v>
      </x:c>
      <x:c r="E51" s="1" t="n">
        <x:v>0.846</x:v>
      </x:c>
      <x:c r="F51" s="1" t="n">
        <x:v>0.941</x:v>
      </x:c>
      <x:c r="G51" s="1"/>
      <x:c r="H51" s="1"/>
      <x:c r="I51" s="1"/>
      <x:c r="J51" s="1"/>
      <x:c r="K51" s="1"/>
      <x:c r="L51" s="1"/>
      <x:c r="M51" s="1" t="n">
        <x:v>1.24</x:v>
      </x:c>
      <x:c r="N51" s="1" t="str">
        <x:v>-99.0</x:v>
      </x:c>
      <x:c r="O51" s="1"/>
      <x:c r="P51" s="1" t="n">
        <x:v>2.57</x:v>
      </x:c>
      <x:c r="Q51" s="1" t="n">
        <x:v>88.75</x:v>
      </x:c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>
      <x:c r="A52" s="1" t="n">
        <x:v>29</x:v>
      </x:c>
      <x:c r="B52" s="1" t="str">
        <x:v>2026-4-6</x:v>
      </x:c>
      <x:c r="C52" s="1"/>
      <x:c r="D52" s="1" t="str">
        <x:v>29</x:v>
      </x:c>
      <x:c r="E52" s="1" t="str">
        <x:v>-99.0</x:v>
      </x:c>
      <x:c r="F52" s="1" t="str">
        <x:v>-99.0</x:v>
      </x:c>
      <x:c r="G52" s="1" t="str">
        <x:v>-99</x:v>
      </x:c>
      <x:c r="H52" s="1"/>
      <x:c r="I52" s="1" t="n">
        <x:v>82</x:v>
      </x:c>
      <x:c r="J52" s="1"/>
      <x:c r="K52" s="1" t="n">
        <x:v>163</x:v>
      </x:c>
      <x:c r="L52" s="1"/>
      <x:c r="M52" s="1" t="n">
        <x:v>0.8</x:v>
      </x:c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>
      <x:c r="A53" s="1" t="n">
        <x:v>29</x:v>
      </x:c>
      <x:c r="B53" s="1" t="str">
        <x:v>26146</x:v>
      </x:c>
      <x:c r="C53" s="1"/>
      <x:c r="D53" s="1" t="str">
        <x:v>29</x:v>
      </x:c>
      <x:c r="E53" s="1"/>
      <x:c r="F53" s="1" t="n">
        <x:v>0.653</x:v>
      </x:c>
      <x:c r="G53" s="1" t="n">
        <x:v>3291</x:v>
      </x:c>
      <x:c r="H53" s="1" t="str">
        <x:v>-99</x:v>
      </x:c>
      <x:c r="I53" s="1" t="n">
        <x:v>496</x:v>
      </x:c>
      <x:c r="J53" s="1"/>
      <x:c r="K53" s="1" t="n">
        <x:v>992</x:v>
      </x:c>
      <x:c r="L53" s="1"/>
      <x:c r="M53" s="1" t="n">
        <x:v>2.93</x:v>
      </x:c>
      <x:c r="N53" s="1" t="str">
        <x:v>-99</x:v>
      </x:c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>
      <x:c r="A54" s="1" t="n">
        <x:v>29</x:v>
      </x:c>
      <x:c r="B54" s="3" t="d">
        <x:v>2026-07-15T00:00:00.000Z</x:v>
      </x:c>
      <x:c r="C54" s="1"/>
      <x:c r="D54" s="1" t="str">
        <x:v>29</x:v>
      </x:c>
      <x:c r="E54" s="1"/>
      <x:c r="F54" s="1"/>
      <x:c r="G54" s="1" t="n">
        <x:v>3268</x:v>
      </x:c>
      <x:c r="H54" s="1" t="n">
        <x:v>7073</x:v>
      </x:c>
      <x:c r="I54" s="1" t="n">
        <x:v>1064</x:v>
      </x:c>
      <x:c r="J54" s="1"/>
      <x:c r="K54" s="1" t="n">
        <x:v>2128</x:v>
      </x:c>
      <x:c r="L54" s="1"/>
      <x:c r="M54" s="1" t="n">
        <x:v>1.18</x:v>
      </x:c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1" t="str">
        <x:v>! Section</x:v>
      </x:c>
      <x:c r="B56" s="1" t="str">
        <x:v>Harvest_event_treatments</x:v>
      </x:c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>
      <x:c r="A57" s="1" t="str">
        <x:v>! Definitions</x:v>
      </x:c>
      <x:c r="B57" s="1" t="str">
        <x:v>Unique identifier for a harvest treatment</x:v>
      </x:c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>
      <x:c r="A58" s="1" t="str">
        <x:v>! Units</x:v>
      </x:c>
      <x:c r="B58" s="1" t="str">
        <x:v>text</x:v>
      </x:c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>
      <x:c r="A59" s="2" t="str">
        <x:v>#</x:v>
      </x:c>
      <x:c r="B59" s="2" t="str">
        <x:v>HARVTRTI</x:v>
      </x:c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</x:row>
    <x:row r="60">
      <x:c r="A60" s="1" t="n">
        <x:v>11</x:v>
      </x:c>
      <x:c r="B60" s="1" t="str">
        <x:v>S0055</x:v>
      </x:c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>
      <x:c r="A61" s="1" t="n">
        <x:v>17</x:v>
      </x:c>
      <x:c r="B61" s="1" t="str">
        <x:v>S0056</x:v>
      </x:c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>
      <x:c r="A62" s="1" t="n">
        <x:v>23</x:v>
      </x:c>
      <x:c r="B62" s="1" t="str">
        <x:v>S0057</x:v>
      </x:c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>
      <x:c r="A63" s="1" t="n">
        <x:v>29</x:v>
      </x:c>
      <x:c r="B63" s="1" t="str">
        <x:v>S0058</x:v>
      </x:c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>
      <x:c r="A65" s="1" t="str">
        <x:v>! Section</x:v>
      </x:c>
      <x:c r="B65" s="1" t="str">
        <x:v>Harvest_events</x:v>
      </x:c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>
      <x:c r="A66" s="1" t="str">
        <x:v>! Definitions</x:v>
      </x:c>
      <x:c r="B66" s="1" t="str">
        <x:v>Harvest operations date; use YYYY-MM-DD.</x:v>
      </x:c>
      <x:c r="C66" s="1"/>
      <x:c r="D66" s="1" t="str">
        <x:v>Identifier of the harvest treatment associated with the event</x:v>
      </x:c>
      <x:c r="E66" s="1" t="str">
        <x:v>Harvest operations, crop component harvested</x:v>
      </x:c>
      <x:c r="F66" s="1" t="str">
        <x:v>Harvest method</x:v>
      </x:c>
      <x:c r="G66" s="1" t="str">
        <x:v>Harvest, height of cut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>
      <x:c r="A67" s="1" t="str">
        <x:v>! Units</x:v>
      </x:c>
      <x:c r="B67" s="1" t="str">
        <x:v>date</x:v>
      </x:c>
      <x:c r="C67" s="1"/>
      <x:c r="D67" s="1" t="str">
        <x:v>text</x:v>
      </x:c>
      <x:c r="E67" s="1" t="str">
        <x:v>code</x:v>
      </x:c>
      <x:c r="F67" s="1" t="str">
        <x:v>code</x:v>
      </x:c>
      <x:c r="G67" s="1" t="str">
        <x:v>cm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 s="2" t="str">
        <x:v>%</x:v>
      </x:c>
      <x:c r="B68" s="2" t="str">
        <x:v>HADAT</x:v>
      </x:c>
      <x:c r="C68" s="2"/>
      <x:c r="D68" s="2" t="str">
        <x:v>HARVT_HE</x:v>
      </x:c>
      <x:c r="E68" s="2" t="str">
        <x:v>hacom</x:v>
      </x:c>
      <x:c r="F68" s="2" t="str">
        <x:v>HARM</x:v>
      </x:c>
      <x:c r="G68" s="2" t="str">
        <x:v> HAHT </x:v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</x:row>
    <x:row r="69">
      <x:c r="A69" s="1" t="n">
        <x:v>11</x:v>
      </x:c>
      <x:c r="B69" s="1" t="str">
        <x:v> 2023-07-08</x:v>
      </x:c>
      <x:c r="C69" s="1"/>
      <x:c r="D69" s="1" t="str">
        <x:v>S0055</x:v>
      </x:c>
      <x:c r="E69" s="1" t="str">
        <x:v>grain</x:v>
      </x:c>
      <x:c r="F69" s="1" t="str">
        <x:v>Combined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 s="1" t="n">
        <x:v>17</x:v>
      </x:c>
      <x:c r="B70" s="1" t="str">
        <x:v>2024-8-28</x:v>
      </x:c>
      <x:c r="C70" s="1"/>
      <x:c r="D70" s="1" t="str">
        <x:v>S0056</x:v>
      </x:c>
      <x:c r="E70" s="1" t="str">
        <x:v>grain</x:v>
      </x:c>
      <x:c r="F70" s="1" t="str">
        <x:v>Combined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 t="n">
        <x:v>23</x:v>
      </x:c>
      <x:c r="B71" s="1" t="str">
        <x:v>25242</x:v>
      </x:c>
      <x:c r="C71" s="1"/>
      <x:c r="D71" s="1" t="str">
        <x:v>S0057</x:v>
      </x:c>
      <x:c r="E71" s="1" t="str">
        <x:v>grain</x:v>
      </x:c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 t="n">
        <x:v>29</x:v>
      </x:c>
      <x:c r="B72" s="3" t="d">
        <x:v>2026-07-21T00:00:00.000Z</x:v>
      </x:c>
      <x:c r="C72" s="1"/>
      <x:c r="D72" s="1" t="str">
        <x:v>S0058</x:v>
      </x:c>
      <x:c r="E72" s="1" t="str">
        <x:v>grain</x:v>
      </x:c>
      <x:c r="F72" s="1" t="str">
        <x:v>Combined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1" t="str">
        <x:v>! Section</x:v>
      </x:c>
      <x:c r="B74" s="1" t="str">
        <x:v>Initial_conditions</x:v>
      </x:c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 s="1" t="str">
        <x:v>! Definitions</x:v>
      </x:c>
      <x:c r="B75" s="1" t="str">
        <x:v>Initial profile inorganic nitrogen amount</x:v>
      </x:c>
      <x:c r="C75" s="1"/>
      <x:c r="D75" s="1" t="str">
        <x:v>Initial water content of entire profile, expressed as percent of available water</x:v>
      </x:c>
      <x:c r="E75" s="1" t="str">
        <x:v>Residue above-ground weight, dry weight basis</x:v>
      </x:c>
      <x:c r="F75" s="1" t="str">
        <x:v>Unique identifier for an initial conditions treatment</x:v>
      </x:c>
      <x:c r="G75" s="1" t="str">
        <x:v>Initial conditions measurement date; use YYYY-MM-DD.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 s="1" t="str">
        <x:v>! Units</x:v>
      </x:c>
      <x:c r="B76" s="1" t="str">
        <x:v>kg[N]/ha</x:v>
      </x:c>
      <x:c r="C76" s="1"/>
      <x:c r="D76" s="1" t="str">
        <x:v>%</x:v>
      </x:c>
      <x:c r="E76" s="1" t="str">
        <x:v>kg/ha</x:v>
      </x:c>
      <x:c r="F76" s="1" t="str">
        <x:v>text</x:v>
      </x:c>
      <x:c r="G76" s="1" t="str">
        <x:v>date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 s="2" t="str">
        <x:v>%</x:v>
      </x:c>
      <x:c r="B77" s="2" t="str">
        <x:v> ICIN </x:v>
      </x:c>
      <x:c r="C77" s="2"/>
      <x:c r="D77" s="2" t="str">
        <x:v>ICSW%</x:v>
      </x:c>
      <x:c r="E77" s="2" t="str">
        <x:v>icrag</x:v>
      </x:c>
      <x:c r="F77" s="2" t="str">
        <x:v>INITCOND</x:v>
      </x:c>
      <x:c r="G77" s="2" t="str">
        <x:v>ICDAT</x:v>
      </x:c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</x:row>
    <x:row r="78">
      <x:c r="A78" s="1" t="n">
        <x:v>11</x:v>
      </x:c>
      <x:c r="B78" s="1"/>
      <x:c r="C78" s="1"/>
      <x:c r="D78" s="1" t="n">
        <x:v>49</x:v>
      </x:c>
      <x:c r="E78" s="1" t="n">
        <x:v>650</x:v>
      </x:c>
      <x:c r="F78" s="1" t="str">
        <x:v>S0061</x:v>
      </x:c>
      <x:c r="G78" s="1" t="str">
        <x:v> 2023-03-03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 s="1" t="n">
        <x:v>17</x:v>
      </x:c>
      <x:c r="B79" s="1"/>
      <x:c r="C79" s="1"/>
      <x:c r="D79" s="1" t="n">
        <x:v>51</x:v>
      </x:c>
      <x:c r="E79" s="1" t="n">
        <x:v>750</x:v>
      </x:c>
      <x:c r="F79" s="1" t="str">
        <x:v>S0062</x:v>
      </x:c>
      <x:c r="G79" s="1" t="str">
        <x:v>2024-4-13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 s="1" t="n">
        <x:v>23</x:v>
      </x:c>
      <x:c r="B80" s="1"/>
      <x:c r="C80" s="1"/>
      <x:c r="D80" s="1" t="n">
        <x:v>53</x:v>
      </x:c>
      <x:c r="E80" s="1" t="n">
        <x:v>850</x:v>
      </x:c>
      <x:c r="F80" s="1" t="str">
        <x:v>S0063</x:v>
      </x:c>
      <x:c r="G80" s="1" t="str">
        <x:v>25125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 s="1" t="n">
        <x:v>29</x:v>
      </x:c>
      <x:c r="B81" s="1"/>
      <x:c r="C81" s="1"/>
      <x:c r="D81" s="1" t="n">
        <x:v>55</x:v>
      </x:c>
      <x:c r="E81" s="1" t="n">
        <x:v>950</x:v>
      </x:c>
      <x:c r="F81" s="1" t="str">
        <x:v>S0064</x:v>
      </x:c>
      <x:c r="G81" s="3" t="d">
        <x:v>2026-03-11T00:00:00.000Z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 s="1" t="str">
        <x:v>! Section</x:v>
      </x:c>
      <x:c r="B83" s="1" t="str">
        <x:v>Initial_conditions_layer</x:v>
      </x:c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 s="1" t="str">
        <x:v>! Definitions</x:v>
      </x:c>
      <x:c r="B84" s="1" t="str">
        <x:v>Initial conditions measurement date; use YYYY-MM-DD.</x:v>
      </x:c>
      <x:c r="C84" s="1"/>
      <x:c r="D84" s="1" t="str">
        <x:v>Identifier of the initial conditions treatment associated with the soil layer</x:v>
      </x:c>
      <x:c r="E84" s="1" t="str">
        <x:v>Soil layer depth to upper boundary of sample (top)</x:v>
      </x:c>
      <x:c r="F84" s="1" t="str">
        <x:v>Soil layer depth to lower boundary of sample (bottom)</x:v>
      </x:c>
      <x:c r="G84" s="1" t="str">
        <x:v>One or more represented plot_season_id values for this observation or layer row. Use a single ID for a single plot-season; use multiple IDs only for a broader observation. The API stores the trimmed, duplicate-free list in lexicographic order.</x:v>
      </x:c>
      <x:c r="H84" s="1" t="str">
        <x:v>Initial water concentration by layer</x:v>
      </x:c>
      <x:c r="I84" s="1" t="str">
        <x:v>Initial NO3 conc., as elemental N on dry wt. basis, by layer</x:v>
      </x:c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 s="1" t="str">
        <x:v>! Units</x:v>
      </x:c>
      <x:c r="B85" s="1" t="str">
        <x:v>date</x:v>
      </x:c>
      <x:c r="C85" s="1"/>
      <x:c r="D85" s="1" t="str">
        <x:v>text</x:v>
      </x:c>
      <x:c r="E85" s="1" t="str">
        <x:v>cm</x:v>
      </x:c>
      <x:c r="F85" s="1" t="str">
        <x:v>cm</x:v>
      </x:c>
      <x:c r="G85" s="1" t="str">
        <x:v>text</x:v>
      </x:c>
      <x:c r="H85" s="1" t="str">
        <x:v>unitless</x:v>
      </x:c>
      <x:c r="I85" s="1" t="str">
        <x:v>ppm</x:v>
      </x:c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 s="2" t="str">
        <x:v>%</x:v>
      </x:c>
      <x:c r="B86" s="2" t="str">
        <x:v>ICDAT</x:v>
      </x:c>
      <x:c r="C86" s="2"/>
      <x:c r="D86" s="2" t="str">
        <x:v>INIT_ICL</x:v>
      </x:c>
      <x:c r="E86" s="2" t="str">
        <x:v>sldub</x:v>
      </x:c>
      <x:c r="F86" s="2" t="str">
        <x:v>SLDLB</x:v>
      </x:c>
      <x:c r="G86" s="2" t="str">
        <x:v> GRPP_ICL </x:v>
      </x:c>
      <x:c r="H86" s="2" t="str">
        <x:v>ich2o</x:v>
      </x:c>
      <x:c r="I86" s="2" t="str">
        <x:v>ICNO3</x:v>
      </x:c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</x:row>
    <x:row r="87">
      <x:c r="A87" s="1" t="n">
        <x:v>11</x:v>
      </x:c>
      <x:c r="B87" s="1" t="str">
        <x:v> 2023-03-03</x:v>
      </x:c>
      <x:c r="C87" s="1"/>
      <x:c r="D87" s="1" t="str">
        <x:v>S0061</x:v>
      </x:c>
      <x:c r="E87" s="1" t="n">
        <x:v>0</x:v>
      </x:c>
      <x:c r="F87" s="1" t="n">
        <x:v>20</x:v>
      </x:c>
      <x:c r="G87" s="1" t="str">
        <x:v>11</x:v>
      </x:c>
      <x:c r="H87" s="1" t="n">
        <x:v>0.19</x:v>
      </x:c>
      <x:c r="I87" s="1" t="n">
        <x:v>4.5</x:v>
      </x:c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 t="n">
        <x:v>11</x:v>
      </x:c>
      <x:c r="B88" s="1" t="str">
        <x:v>2023-3-3</x:v>
      </x:c>
      <x:c r="C88" s="1"/>
      <x:c r="D88" s="1" t="str">
        <x:v>S0061</x:v>
      </x:c>
      <x:c r="E88" s="1" t="n">
        <x:v>20</x:v>
      </x:c>
      <x:c r="F88" s="1" t="n">
        <x:v>40</x:v>
      </x:c>
      <x:c r="G88" s="1" t="str">
        <x:v>11</x:v>
      </x:c>
      <x:c r="H88" s="1" t="n">
        <x:v>0.2</x:v>
      </x:c>
      <x:c r="I88" s="1" t="n">
        <x:v>4.1</x:v>
      </x:c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 t="n">
        <x:v>17</x:v>
      </x:c>
      <x:c r="B89" s="1" t="str">
        <x:v>24104</x:v>
      </x:c>
      <x:c r="C89" s="1"/>
      <x:c r="D89" s="1" t="str">
        <x:v>S0062</x:v>
      </x:c>
      <x:c r="E89" s="1" t="n">
        <x:v>0</x:v>
      </x:c>
      <x:c r="F89" s="1" t="n">
        <x:v>20</x:v>
      </x:c>
      <x:c r="G89" s="1" t="str">
        <x:v>17</x:v>
      </x:c>
      <x:c r="H89" s="1" t="n">
        <x:v>0.195</x:v>
      </x:c>
      <x:c r="I89" s="1" t="n">
        <x:v>4.7</x:v>
      </x:c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 t="n">
        <x:v>17</x:v>
      </x:c>
      <x:c r="B90" s="3" t="d">
        <x:v>2024-04-13T00:00:00.000Z</x:v>
      </x:c>
      <x:c r="C90" s="1"/>
      <x:c r="D90" s="1" t="str">
        <x:v>S0062</x:v>
      </x:c>
      <x:c r="E90" s="1" t="n">
        <x:v>20</x:v>
      </x:c>
      <x:c r="F90" s="1" t="n">
        <x:v>40</x:v>
      </x:c>
      <x:c r="G90" s="1" t="str">
        <x:v>17</x:v>
      </x:c>
      <x:c r="H90" s="1" t="n">
        <x:v>0.205</x:v>
      </x:c>
      <x:c r="I90" s="1" t="n">
        <x:v>4.3</x:v>
      </x:c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1" t="n">
        <x:v>23</x:v>
      </x:c>
      <x:c r="B91" s="1" t="str">
        <x:v> 2025-05-05</x:v>
      </x:c>
      <x:c r="C91" s="1"/>
      <x:c r="D91" s="1" t="str">
        <x:v>S0063</x:v>
      </x:c>
      <x:c r="E91" s="1" t="n">
        <x:v>0</x:v>
      </x:c>
      <x:c r="F91" s="1" t="n">
        <x:v>20</x:v>
      </x:c>
      <x:c r="G91" s="1" t="str">
        <x:v>23</x:v>
      </x:c>
      <x:c r="H91" s="1" t="n">
        <x:v>0.2</x:v>
      </x:c>
      <x:c r="I91" s="1" t="n">
        <x:v>4.9</x:v>
      </x:c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 s="1" t="n">
        <x:v>23</x:v>
      </x:c>
      <x:c r="B92" s="1" t="str">
        <x:v>2025-5-5</x:v>
      </x:c>
      <x:c r="C92" s="1"/>
      <x:c r="D92" s="1" t="str">
        <x:v>S0063</x:v>
      </x:c>
      <x:c r="E92" s="1" t="n">
        <x:v>20</x:v>
      </x:c>
      <x:c r="F92" s="1" t="n">
        <x:v>40</x:v>
      </x:c>
      <x:c r="G92" s="1" t="str">
        <x:v>23</x:v>
      </x:c>
      <x:c r="H92" s="1" t="n">
        <x:v>0.21</x:v>
      </x:c>
      <x:c r="I92" s="1" t="n">
        <x:v>4.5</x:v>
      </x:c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 s="1" t="n">
        <x:v>29</x:v>
      </x:c>
      <x:c r="B93" s="1" t="str">
        <x:v>26070</x:v>
      </x:c>
      <x:c r="C93" s="1"/>
      <x:c r="D93" s="1" t="str">
        <x:v>S0064</x:v>
      </x:c>
      <x:c r="E93" s="1" t="n">
        <x:v>0</x:v>
      </x:c>
      <x:c r="F93" s="1" t="n">
        <x:v>20</x:v>
      </x:c>
      <x:c r="G93" s="1" t="str">
        <x:v>29</x:v>
      </x:c>
      <x:c r="H93" s="1" t="n">
        <x:v>0.205</x:v>
      </x:c>
      <x:c r="I93" s="1" t="n">
        <x:v>5.1</x:v>
      </x:c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 t="n">
        <x:v>29</x:v>
      </x:c>
      <x:c r="B94" s="3" t="d">
        <x:v>2026-03-11T00:00:00.000Z</x:v>
      </x:c>
      <x:c r="C94" s="1"/>
      <x:c r="D94" s="1" t="str">
        <x:v>S0064</x:v>
      </x:c>
      <x:c r="E94" s="1" t="n">
        <x:v>20</x:v>
      </x:c>
      <x:c r="F94" s="1" t="n">
        <x:v>40</x:v>
      </x:c>
      <x:c r="G94" s="1" t="str">
        <x:v>29</x:v>
      </x:c>
      <x:c r="H94" s="1" t="n">
        <x:v>0.215</x:v>
      </x:c>
      <x:c r="I94" s="1" t="n">
        <x:v>4.7</x:v>
      </x:c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 s="1" t="str">
        <x:v>! Section</x:v>
      </x:c>
      <x:c r="B96" s="1" t="str">
        <x:v>Other_observations_summary</x:v>
      </x:c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 t="str">
        <x:v>! Definitions</x:v>
      </x:c>
      <x:c r="B97" s="1" t="str">
        <x:v>Organic matter appl (dry), cumulative</x:v>
      </x:c>
      <x:c r="C97" s="1"/>
      <x:c r="D97" s="1" t="str">
        <x:v>N, inorganic, applied up to harvest maturity</x:v>
      </x:c>
      <x:c r="E97" s="1" t="str">
        <x:v>Daily air temperature, average, sowing to harvest</x:v>
      </x:c>
      <x:c r="F97" s="1" t="str">
        <x:v>Minimum daily air temperature, average, sowing to harvest</x:v>
      </x:c>
      <x:c r="G97" s="1" t="str">
        <x:v>Maximum daily air temperature, average, sowing to harvest</x:v>
      </x:c>
      <x:c r="H97" s="1" t="str">
        <x:v>Solar radiation, average, sowing to harvest</x:v>
      </x:c>
      <x:c r="I97" s="1" t="str">
        <x:v>Drainage,season</x:v>
      </x:c>
      <x:c r="J97" s="1" t="str">
        <x:v>Runoff, season total</x:v>
      </x:c>
      <x:c r="K97" s="1" t="str">
        <x:v>Evaporation,soil, cumulative from planting to harvest</x:v>
      </x:c>
      <x:c r="L97" s="1" t="str">
        <x:v>Transpiration, cumulative from planting to harvest</x:v>
      </x:c>
      <x:c r="M97" s="1" t="str">
        <x:v>Evapotranspiration, cumulative from planting to harvest</x:v>
      </x:c>
      <x:c r="N97" s="1" t="str">
        <x:v>Rainfall, planting to harvest</x:v>
      </x:c>
      <x:c r="O97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 t="str">
        <x:v>! Units</x:v>
      </x:c>
      <x:c r="B98" s="1" t="str">
        <x:v>kg/ha</x:v>
      </x:c>
      <x:c r="C98" s="1"/>
      <x:c r="D98" s="1" t="str">
        <x:v>kg/ha</x:v>
      </x:c>
      <x:c r="E98" s="1" t="str">
        <x:v>degree_C</x:v>
      </x:c>
      <x:c r="F98" s="1" t="str">
        <x:v>degree_C</x:v>
      </x:c>
      <x:c r="G98" s="1" t="str">
        <x:v>degree_C</x:v>
      </x:c>
      <x:c r="H98" s="1" t="str">
        <x:v>MJ/(m2.d)</x:v>
      </x:c>
      <x:c r="I98" s="1" t="str">
        <x:v>mm</x:v>
      </x:c>
      <x:c r="J98" s="1" t="str">
        <x:v>mm</x:v>
      </x:c>
      <x:c r="K98" s="1" t="str">
        <x:v>mm</x:v>
      </x:c>
      <x:c r="L98" s="1" t="str">
        <x:v>mm</x:v>
      </x:c>
      <x:c r="M98" s="1" t="str">
        <x:v>mm</x:v>
      </x:c>
      <x:c r="N98" s="1" t="str">
        <x:v>mm</x:v>
      </x:c>
      <x:c r="O98" s="1" t="str">
        <x:v>text</x:v>
      </x:c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2" t="str">
        <x:v>#</x:v>
      </x:c>
      <x:c r="B99" s="2" t="str">
        <x:v>OMAC</x:v>
      </x:c>
      <x:c r="C99" s="2"/>
      <x:c r="D99" s="2" t="str">
        <x:v>nicm</x:v>
      </x:c>
      <x:c r="E99" s="2" t="str">
        <x:v>TAVGA</x:v>
      </x:c>
      <x:c r="F99" s="2" t="str">
        <x:v> TMINA </x:v>
      </x:c>
      <x:c r="G99" s="2" t="str">
        <x:v>rmaxz</x:v>
      </x:c>
      <x:c r="H99" s="2" t="str">
        <x:v>SRAA</x:v>
      </x:c>
      <x:c r="I99" s="2" t="str">
        <x:v>DRCM</x:v>
      </x:c>
      <x:c r="J99" s="2" t="str">
        <x:v>rocm</x:v>
      </x:c>
      <x:c r="K99" s="2" t="str">
        <x:v> ESCP </x:v>
      </x:c>
      <x:c r="L99" s="2" t="str">
        <x:v>EPCP</x:v>
      </x:c>
      <x:c r="M99" s="2" t="str">
        <x:v>etcp</x:v>
      </x:c>
      <x:c r="N99" s="2" t="str">
        <x:v>PRCP</x:v>
      </x:c>
      <x:c r="O99" s="2" t="str">
        <x:v>GRPPL_OO</x:v>
      </x:c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</x:row>
    <x:row r="100">
      <x:c r="A100" s="1" t="n">
        <x:v>11</x:v>
      </x:c>
      <x:c r="B100" s="1"/>
      <x:c r="C100" s="1"/>
      <x:c r="D100" s="1"/>
      <x:c r="E100" s="1"/>
      <x:c r="F100" s="1"/>
      <x:c r="G100" s="1"/>
      <x:c r="H100" s="1"/>
      <x:c r="I100" s="1"/>
      <x:c r="J100" s="1" t="n">
        <x:v>12</x:v>
      </x:c>
      <x:c r="K100" s="1" t="n">
        <x:v>81.6</x:v>
      </x:c>
      <x:c r="L100" s="1" t="n">
        <x:v>225.6</x:v>
      </x:c>
      <x:c r="M100" s="1" t="n">
        <x:v>307.2</x:v>
      </x:c>
      <x:c r="N100" s="1" t="n">
        <x:v>191.08</x:v>
      </x:c>
      <x:c r="O100" s="1" t="str">
        <x:v>11</x:v>
      </x:c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  <x:row r="101">
      <x:c r="A101" s="1" t="n">
        <x:v>17</x:v>
      </x:c>
      <x:c r="B101" s="1"/>
      <x:c r="C101" s="1"/>
      <x:c r="D101" s="1"/>
      <x:c r="E101" s="1" t="n">
        <x:v>17.747</x:v>
      </x:c>
      <x:c r="F101" s="1" t="n">
        <x:v>13.734</x:v>
      </x:c>
      <x:c r="G101" s="1" t="n">
        <x:v>21.758</x:v>
      </x:c>
      <x:c r="H101" s="1" t="n">
        <x:v>15.891</x:v>
      </x:c>
      <x:c r="I101" s="1" t="n">
        <x:v>23</x:v>
      </x:c>
      <x:c r="J101" s="1"/>
      <x:c r="K101" s="1"/>
      <x:c r="L101" s="1"/>
      <x:c r="M101" s="1"/>
      <x:c r="N101" s="1" t="n">
        <x:v>337.93</x:v>
      </x:c>
      <x:c r="O101" s="1" t="str">
        <x:v>17</x:v>
      </x:c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</x:row>
    <x:row r="102">
      <x:c r="A102" s="1" t="n">
        <x:v>23</x:v>
      </x:c>
      <x:c r="B102" s="1"/>
      <x:c r="C102" s="1"/>
      <x:c r="D102" s="1"/>
      <x:c r="E102" s="1"/>
      <x:c r="F102" s="1"/>
      <x:c r="G102" s="1"/>
      <x:c r="H102" s="1"/>
      <x:c r="I102" s="1"/>
      <x:c r="J102" s="1"/>
      <x:c r="K102" s="1" t="n">
        <x:v>74.8</x:v>
      </x:c>
      <x:c r="L102" s="1" t="n">
        <x:v>206.8</x:v>
      </x:c>
      <x:c r="M102" s="1" t="n">
        <x:v>281.6</x:v>
      </x:c>
      <x:c r="N102" s="1" t="n">
        <x:v>245.38</x:v>
      </x:c>
      <x:c r="O102" s="1" t="str">
        <x:v>23</x:v>
      </x:c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</x:row>
    <x:row r="103">
      <x:c r="A103" s="1" t="n">
        <x:v>29</x:v>
      </x:c>
      <x:c r="B103" s="1"/>
      <x:c r="C103" s="1"/>
      <x:c r="D103" s="1"/>
      <x:c r="E103" s="1" t="n">
        <x:v>15.214</x:v>
      </x:c>
      <x:c r="F103" s="1" t="n">
        <x:v>11.226</x:v>
      </x:c>
      <x:c r="G103" s="1" t="n">
        <x:v>19.204</x:v>
      </x:c>
      <x:c r="H103" s="1" t="n">
        <x:v>13.597</x:v>
      </x:c>
      <x:c r="I103" s="1"/>
      <x:c r="J103" s="1" t="n">
        <x:v>12</x:v>
      </x:c>
      <x:c r="K103" s="1"/>
      <x:c r="L103" s="1"/>
      <x:c r="M103" s="1"/>
      <x:c r="N103" s="1" t="n">
        <x:v>272.5</x:v>
      </x:c>
      <x:c r="O103" s="1" t="str">
        <x:v>29</x:v>
      </x:c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</x:row>
    <x:row r="105">
      <x:c r="A105" s="1" t="str">
        <x:v>! Section</x:v>
      </x:c>
      <x:c r="B105" s="1" t="str">
        <x:v>Other_observations_timeseries</x:v>
      </x:c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</x:row>
    <x:row r="106">
      <x:c r="A106" s="1" t="str">
        <x:v>! Definitions</x:v>
      </x:c>
      <x:c r="B106" s="1" t="str">
        <x:v>Date of measurement; use YYYY-MM-DD.</x:v>
      </x:c>
      <x:c r="C106" s="1"/>
      <x:c r="D106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E106" s="1" t="str">
        <x:v>Water available in root zone</x:v>
      </x:c>
      <x:c r="F106" s="1" t="str">
        <x:v>Transpiration (evaporation from plant), daily</x:v>
      </x:c>
      <x:c r="G106" s="1" t="str">
        <x:v>Evaporation, soil, daily</x:v>
      </x:c>
      <x:c r="H106" s="1" t="str">
        <x:v>Evapotranspiration</x:v>
      </x:c>
      <x:c r="I106" s="1" t="str">
        <x:v>Irrigation applications, cumulative</x:v>
      </x:c>
      <x:c r="J106" s="1" t="str">
        <x:v>Water stress factor reducing growth (0 to 1 scale)</x:v>
      </x:c>
      <x:c r="K106" s="1" t="str">
        <x:v>Irrigation, cumulative</x:v>
      </x:c>
      <x:c r="L106" s="1" t="str">
        <x:v>N applications</x:v>
      </x:c>
      <x:c r="M106" s="1" t="str">
        <x:v>Floodwater depth</x:v>
      </x:c>
      <x:c r="N106" s="1" t="str">
        <x:v>Daily CO2 emitted from decomposition of SOM</x:v>
      </x:c>
      <x:c r="O106" s="1" t="str">
        <x:v>Daily N2O emitted from soil</x:v>
      </x:c>
      <x:c r="P106" s="1" t="str">
        <x:v>Daily methane emitted from soil</x:v>
      </x:c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</x:row>
    <x:row r="107">
      <x:c r="A107" s="1" t="str">
        <x:v>! Units</x:v>
      </x:c>
      <x:c r="B107" s="1" t="str">
        <x:v>date</x:v>
      </x:c>
      <x:c r="C107" s="1"/>
      <x:c r="D107" s="1" t="str">
        <x:v>text</x:v>
      </x:c>
      <x:c r="E107" s="1" t="str">
        <x:v>mm</x:v>
      </x:c>
      <x:c r="F107" s="1" t="str">
        <x:v>mm/d</x:v>
      </x:c>
      <x:c r="G107" s="1" t="str">
        <x:v>mm/d</x:v>
      </x:c>
      <x:c r="H107" s="1" t="str">
        <x:v>mm/d</x:v>
      </x:c>
      <x:c r="I107" s="1" t="str">
        <x:v>number</x:v>
      </x:c>
      <x:c r="J107" s="1" t="str">
        <x:v>number</x:v>
      </x:c>
      <x:c r="K107" s="1" t="str">
        <x:v>mm</x:v>
      </x:c>
      <x:c r="L107" s="1" t="str">
        <x:v>number</x:v>
      </x:c>
      <x:c r="M107" s="1" t="str">
        <x:v>mm</x:v>
      </x:c>
      <x:c r="N107" s="1" t="str">
        <x:v>g/ha</x:v>
      </x:c>
      <x:c r="O107" s="1" t="str">
        <x:v>g/ha</x:v>
      </x:c>
      <x:c r="P107" s="1" t="str">
        <x:v>g/ha</x:v>
      </x:c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</x:row>
    <x:row r="108">
      <x:c r="A108" s="2" t="str">
        <x:v>%</x:v>
      </x:c>
      <x:c r="B108" s="2" t="str">
        <x:v>DATE</x:v>
      </x:c>
      <x:c r="C108" s="2"/>
      <x:c r="D108" s="2" t="str">
        <x:v>GRPPL_OO</x:v>
      </x:c>
      <x:c r="E108" s="2" t="str">
        <x:v>h2oa</x:v>
      </x:c>
      <x:c r="F108" s="2" t="str">
        <x:v>EPAD</x:v>
      </x:c>
      <x:c r="G108" s="2" t="str">
        <x:v> SSUD </x:v>
      </x:c>
      <x:c r="H108" s="2" t="str">
        <x:v>etad</x:v>
      </x:c>
      <x:c r="I108" s="2" t="str">
        <x:v>IR#C</x:v>
      </x:c>
      <x:c r="J108" s="2" t="str">
        <x:v>WFGD</x:v>
      </x:c>
      <x:c r="K108" s="2" t="str">
        <x:v>irrc</x:v>
      </x:c>
      <x:c r="L108" s="2" t="str">
        <x:v> NI#M </x:v>
      </x:c>
      <x:c r="M108" s="2" t="str">
        <x:v>FLDD</x:v>
      </x:c>
      <x:c r="N108" s="2" t="str">
        <x:v>co2ed</x:v>
      </x:c>
      <x:c r="O108" s="2" t="str">
        <x:v>N2OED</x:v>
      </x:c>
      <x:c r="P108" s="2" t="str">
        <x:v>CH4ED</x:v>
      </x:c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</x:row>
    <x:row r="109">
      <x:c r="A109" s="1" t="n">
        <x:v>11</x:v>
      </x:c>
      <x:c r="B109" s="1" t="str">
        <x:v> 2023-04-09</x:v>
      </x:c>
      <x:c r="C109" s="1"/>
      <x:c r="D109" s="1" t="str">
        <x:v>11</x:v>
      </x:c>
      <x:c r="E109" s="1"/>
      <x:c r="F109" s="1" t="n">
        <x:v>2.75</x:v>
      </x:c>
      <x:c r="G109" s="1" t="n">
        <x:v>0.79</x:v>
      </x:c>
      <x:c r="H109" s="1" t="n">
        <x:v>3.54</x:v>
      </x:c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</x:row>
    <x:row r="110">
      <x:c r="A110" s="1" t="n">
        <x:v>11</x:v>
      </x:c>
      <x:c r="B110" s="1" t="str">
        <x:v>2023-5-15</x:v>
      </x:c>
      <x:c r="C110" s="1"/>
      <x:c r="D110" s="1" t="str">
        <x:v>11</x:v>
      </x:c>
      <x:c r="E110" s="1" t="str">
        <x:v>-99</x:v>
      </x:c>
      <x:c r="F110" s="1" t="n">
        <x:v>3.26</x:v>
      </x:c>
      <x:c r="G110" s="1" t="n">
        <x:v>0.65</x:v>
      </x:c>
      <x:c r="H110" s="1" t="n">
        <x:v>3.91</x:v>
      </x:c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</x:row>
    <x:row r="111">
      <x:c r="A111" s="1" t="n">
        <x:v>11</x:v>
      </x:c>
      <x:c r="B111" s="1" t="str">
        <x:v>23177</x:v>
      </x:c>
      <x:c r="C111" s="1"/>
      <x:c r="D111" s="1" t="str">
        <x:v>11</x:v>
      </x:c>
      <x:c r="E111" s="1"/>
      <x:c r="F111" s="1" t="n">
        <x:v>2.04</x:v>
      </x:c>
      <x:c r="G111" s="1" t="n">
        <x:v>0.49</x:v>
      </x:c>
      <x:c r="H111" s="1" t="n">
        <x:v>2.53</x:v>
      </x:c>
      <x:c r="I111" s="1"/>
      <x:c r="J111" s="1" t="str">
        <x:v>-99</x:v>
      </x:c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</x:row>
    <x:row r="112">
      <x:c r="A112" s="1" t="n">
        <x:v>17</x:v>
      </x:c>
      <x:c r="B112" s="3" t="d">
        <x:v>2024-05-22T00:00:00.000Z</x:v>
      </x:c>
      <x:c r="C112" s="1"/>
      <x:c r="D112" s="1" t="str">
        <x:v>17</x:v>
      </x:c>
      <x:c r="E112" s="1" t="n">
        <x:v>62.5</x:v>
      </x:c>
      <x:c r="F112" s="1"/>
      <x:c r="G112" s="1"/>
      <x:c r="H112" s="1" t="n">
        <x:v>3.54</x:v>
      </x:c>
      <x:c r="I112" s="1"/>
      <x:c r="J112" s="1" t="n">
        <x:v>0.93</x:v>
      </x:c>
      <x:c r="K112" s="1" t="str">
        <x:v>-99.0</x:v>
      </x:c>
      <x:c r="L112" s="1"/>
      <x:c r="M112" s="1"/>
      <x:c r="N112" s="1" t="str">
        <x:v>-99</x:v>
      </x:c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</x:row>
    <x:row r="113">
      <x:c r="A113" s="1" t="n">
        <x:v>17</x:v>
      </x:c>
      <x:c r="B113" s="1" t="str">
        <x:v> 2024-07-01</x:v>
      </x:c>
      <x:c r="C113" s="1"/>
      <x:c r="D113" s="1" t="str">
        <x:v>17</x:v>
      </x:c>
      <x:c r="E113" s="1" t="n">
        <x:v>53.5</x:v>
      </x:c>
      <x:c r="F113" s="1"/>
      <x:c r="G113" s="1"/>
      <x:c r="H113" s="1" t="n">
        <x:v>3.91</x:v>
      </x:c>
      <x:c r="I113" s="1" t="str">
        <x:v>-99.0</x:v>
      </x:c>
      <x:c r="J113" s="1" t="n">
        <x:v>0.88</x:v>
      </x:c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</x:row>
    <x:row r="114">
      <x:c r="A114" s="1" t="n">
        <x:v>17</x:v>
      </x:c>
      <x:c r="B114" s="1" t="str">
        <x:v>2024-8-15</x:v>
      </x:c>
      <x:c r="C114" s="1"/>
      <x:c r="D114" s="1" t="str">
        <x:v>17</x:v>
      </x:c>
      <x:c r="E114" s="1" t="n">
        <x:v>43</x:v>
      </x:c>
      <x:c r="F114" s="1"/>
      <x:c r="G114" s="1"/>
      <x:c r="H114" s="1" t="n">
        <x:v>2.53</x:v>
      </x:c>
      <x:c r="I114" s="1"/>
      <x:c r="J114" s="1" t="n">
        <x:v>0.82</x:v>
      </x:c>
      <x:c r="K114" s="1"/>
      <x:c r="L114" s="1"/>
      <x:c r="M114" s="1" t="str">
        <x:v>-99</x:v>
      </x:c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</x:row>
    <x:row r="115">
      <x:c r="A115" s="1" t="n">
        <x:v>23</x:v>
      </x:c>
      <x:c r="B115" s="1" t="str">
        <x:v>25160</x:v>
      </x:c>
      <x:c r="C115" s="1"/>
      <x:c r="D115" s="1" t="str">
        <x:v>23</x:v>
      </x:c>
      <x:c r="E115" s="1"/>
      <x:c r="F115" s="1"/>
      <x:c r="G115" s="1"/>
      <x:c r="H115" s="1" t="n">
        <x:v>3.54</x:v>
      </x:c>
      <x:c r="I115" s="1"/>
      <x:c r="J115" s="1"/>
      <x:c r="K115" s="1"/>
      <x:c r="L115" s="1"/>
      <x:c r="M115" s="1"/>
      <x:c r="N115" s="1" t="n">
        <x:v>9561</x:v>
      </x:c>
      <x:c r="O115" s="1" t="n">
        <x:v>10.62</x:v>
      </x:c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</x:row>
    <x:row r="116">
      <x:c r="A116" s="1" t="n">
        <x:v>23</x:v>
      </x:c>
      <x:c r="B116" s="3" t="d">
        <x:v>2025-07-12T00:00:00.000Z</x:v>
      </x:c>
      <x:c r="C116" s="1"/>
      <x:c r="D116" s="1" t="str">
        <x:v>23</x:v>
      </x:c>
      <x:c r="E116" s="1"/>
      <x:c r="F116" s="1"/>
      <x:c r="G116" s="1"/>
      <x:c r="H116" s="1" t="n">
        <x:v>3.91</x:v>
      </x:c>
      <x:c r="I116" s="1"/>
      <x:c r="J116" s="1"/>
      <x:c r="K116" s="1"/>
      <x:c r="L116" s="1"/>
      <x:c r="M116" s="1"/>
      <x:c r="N116" s="1" t="n">
        <x:v>9982</x:v>
      </x:c>
      <x:c r="O116" s="1" t="n">
        <x:v>11.46</x:v>
      </x:c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</x:row>
    <x:row r="117">
      <x:c r="A117" s="1" t="n">
        <x:v>23</x:v>
      </x:c>
      <x:c r="B117" s="1" t="str">
        <x:v> 2025-08-19</x:v>
      </x:c>
      <x:c r="C117" s="1"/>
      <x:c r="D117" s="1" t="str">
        <x:v>23</x:v>
      </x:c>
      <x:c r="E117" s="1"/>
      <x:c r="F117" s="1"/>
      <x:c r="G117" s="1"/>
      <x:c r="H117" s="1" t="n">
        <x:v>2.53</x:v>
      </x:c>
      <x:c r="I117" s="1"/>
      <x:c r="J117" s="1"/>
      <x:c r="K117" s="1"/>
      <x:c r="L117" s="1"/>
      <x:c r="M117" s="1"/>
      <x:c r="N117" s="1" t="n">
        <x:v>8964</x:v>
      </x:c>
      <x:c r="O117" s="1" t="n">
        <x:v>9.43</x:v>
      </x:c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</x:row>
    <x:row r="118">
      <x:c r="A118" s="1" t="n">
        <x:v>29</x:v>
      </x:c>
      <x:c r="B118" s="1" t="str">
        <x:v>2026-4-18</x:v>
      </x:c>
      <x:c r="C118" s="1"/>
      <x:c r="D118" s="1" t="str">
        <x:v>29</x:v>
      </x:c>
      <x:c r="E118" s="1"/>
      <x:c r="F118" s="1" t="n">
        <x:v>2.75</x:v>
      </x:c>
      <x:c r="G118" s="1" t="n">
        <x:v>0.79</x:v>
      </x:c>
      <x:c r="H118" s="1" t="n">
        <x:v>3.54</x:v>
      </x:c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</x:row>
    <x:row r="119">
      <x:c r="A119" s="1" t="n">
        <x:v>29</x:v>
      </x:c>
      <x:c r="B119" s="1" t="str">
        <x:v>26146</x:v>
      </x:c>
      <x:c r="C119" s="1"/>
      <x:c r="D119" s="1" t="str">
        <x:v>29</x:v>
      </x:c>
      <x:c r="E119" s="1"/>
      <x:c r="F119" s="1" t="n">
        <x:v>3.26</x:v>
      </x:c>
      <x:c r="G119" s="1" t="n">
        <x:v>0.65</x:v>
      </x:c>
      <x:c r="H119" s="1" t="n">
        <x:v>3.91</x:v>
      </x:c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</x:row>
    <x:row r="120">
      <x:c r="A120" s="1" t="n">
        <x:v>29</x:v>
      </x:c>
      <x:c r="B120" s="3" t="d">
        <x:v>2026-07-08T00:00:00.000Z</x:v>
      </x:c>
      <x:c r="C120" s="1"/>
      <x:c r="D120" s="1" t="str">
        <x:v>29</x:v>
      </x:c>
      <x:c r="E120" s="1"/>
      <x:c r="F120" s="1" t="n">
        <x:v>2.04</x:v>
      </x:c>
      <x:c r="G120" s="1" t="n">
        <x:v>0.49</x:v>
      </x:c>
      <x:c r="H120" s="1" t="n">
        <x:v>2.53</x:v>
      </x:c>
      <x:c r="I120" s="1"/>
      <x:c r="J120" s="1" t="str">
        <x:v>-99.0</x:v>
      </x:c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</x:row>
    <x:row r="122">
      <x:c r="A122" s="1" t="str">
        <x:v>! Section</x:v>
      </x:c>
      <x:c r="B122" s="1" t="str">
        <x:v>Planting_events</x:v>
      </x:c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</x:row>
    <x:row r="123">
      <x:c r="A123" s="1" t="str">
        <x:v>! Definitions</x:v>
      </x:c>
      <x:c r="B123" s="1" t="str">
        <x:v>Transplant age</x:v>
      </x:c>
      <x:c r="C123" s="1"/>
      <x:c r="D123" s="1" t="str">
        <x:v>Plants per hill</x:v>
      </x:c>
      <x:c r="E123" s="1" t="str">
        <x:v>Distance between two adjacent rows</x:v>
      </x:c>
      <x:c r="F123" s="1" t="str">
        <x:v>Planting distribution</x:v>
      </x:c>
      <x:c r="G123" s="1" t="str">
        <x:v>Planting method</x:v>
      </x:c>
      <x:c r="H123" s="1" t="str">
        <x:v>Planting material</x:v>
      </x:c>
      <x:c r="I123" s="1" t="str">
        <x:v>Plant population at planting</x:v>
      </x:c>
      <x:c r="J123" s="1" t="str">
        <x:v>Transplant date; use YYYY-MM-DD.</x:v>
      </x:c>
      <x:c r="K123" s="1" t="str">
        <x:v>Unique identifier for a planting treatment</x:v>
      </x:c>
      <x:c r="L123" s="1" t="str">
        <x:v>Planting or sowing date; use YYYY-MM-DD.</x:v>
      </x:c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</x:row>
    <x:row r="124">
      <x:c r="A124" s="1" t="str">
        <x:v>! Units</x:v>
      </x:c>
      <x:c r="B124" s="1" t="str">
        <x:v>day</x:v>
      </x:c>
      <x:c r="C124" s="1"/>
      <x:c r="D124" s="1" t="str">
        <x:v>number</x:v>
      </x:c>
      <x:c r="E124" s="1" t="str">
        <x:v>cm</x:v>
      </x:c>
      <x:c r="F124" s="1" t="str">
        <x:v>code</x:v>
      </x:c>
      <x:c r="G124" s="1" t="str">
        <x:v>code</x:v>
      </x:c>
      <x:c r="H124" s="1" t="str">
        <x:v>code</x:v>
      </x:c>
      <x:c r="I124" s="1" t="str">
        <x:v>number/m2</x:v>
      </x:c>
      <x:c r="J124" s="1" t="str">
        <x:v>date</x:v>
      </x:c>
      <x:c r="K124" s="1" t="str">
        <x:v>text</x:v>
      </x:c>
      <x:c r="L124" s="1" t="str">
        <x:v>date</x:v>
      </x:c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</x:row>
    <x:row r="125">
      <x:c r="A125" s="2" t="str">
        <x:v>%</x:v>
      </x:c>
      <x:c r="B125" s="2" t="str">
        <x:v> PAGE </x:v>
      </x:c>
      <x:c r="C125" s="2"/>
      <x:c r="D125" s="2" t="str">
        <x:v>plph</x:v>
      </x:c>
      <x:c r="E125" s="2" t="str">
        <x:v>PLRS</x:v>
      </x:c>
      <x:c r="F125" s="2" t="str">
        <x:v>PLDS</x:v>
      </x:c>
      <x:c r="G125" s="2" t="str">
        <x:v>plme</x:v>
      </x:c>
      <x:c r="H125" s="2" t="str">
        <x:v> PLMA </x:v>
      </x:c>
      <x:c r="I125" s="2" t="str">
        <x:v>PLPOP</x:v>
      </x:c>
      <x:c r="J125" s="2" t="str">
        <x:v>trdate</x:v>
      </x:c>
      <x:c r="K125" s="2" t="str">
        <x:v>PLTTRTID</x:v>
      </x:c>
      <x:c r="L125" s="2" t="str">
        <x:v>PDATE</x:v>
      </x:c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</x:row>
    <x:row r="126">
      <x:c r="A126" s="1" t="n">
        <x:v>11</x:v>
      </x:c>
      <x:c r="B126" s="1" t="str">
        <x:v>-99.0</x:v>
      </x:c>
      <x:c r="C126" s="1"/>
      <x:c r="D126" s="1"/>
      <x:c r="E126" s="1" t="n">
        <x:v>20</x:v>
      </x:c>
      <x:c r="F126" s="1"/>
      <x:c r="G126" s="1" t="str">
        <x:v>SD</x:v>
      </x:c>
      <x:c r="H126" s="1"/>
      <x:c r="I126" s="1"/>
      <x:c r="J126" s="1"/>
      <x:c r="K126" s="1" t="str">
        <x:v>S0097</x:v>
      </x:c>
      <x:c r="L126" s="1" t="str">
        <x:v> 2023-03-10</x:v>
      </x:c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</x:row>
    <x:row r="127">
      <x:c r="A127" s="1" t="n">
        <x:v>17</x:v>
      </x:c>
      <x:c r="B127" s="1"/>
      <x:c r="C127" s="1"/>
      <x:c r="D127" s="1"/>
      <x:c r="E127" s="1" t="n">
        <x:v>75</x:v>
      </x:c>
      <x:c r="F127" s="1"/>
      <x:c r="G127" s="1" t="str">
        <x:v>PP</x:v>
      </x:c>
      <x:c r="H127" s="1" t="str">
        <x:v>N/A</x:v>
      </x:c>
      <x:c r="I127" s="1" t="n">
        <x:v>8</x:v>
      </x:c>
      <x:c r="J127" s="1"/>
      <x:c r="K127" s="1" t="str">
        <x:v>S0098</x:v>
      </x:c>
      <x:c r="L127" s="1" t="str">
        <x:v>2024-4-20</x:v>
      </x:c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</x:row>
    <x:row r="128">
      <x:c r="A128" s="1" t="n">
        <x:v>23</x:v>
      </x:c>
      <x:c r="B128" s="1"/>
      <x:c r="C128" s="1"/>
      <x:c r="D128" s="1" t="str">
        <x:v>-99</x:v>
      </x:c>
      <x:c r="E128" s="1" t="n">
        <x:v>50</x:v>
      </x:c>
      <x:c r="F128" s="1" t="str">
        <x:v>RB</x:v>
      </x:c>
      <x:c r="G128" s="1" t="str">
        <x:v>PL</x:v>
      </x:c>
      <x:c r="H128" s="1"/>
      <x:c r="I128" s="1"/>
      <x:c r="J128" s="1"/>
      <x:c r="K128" s="1" t="str">
        <x:v>S0099</x:v>
      </x:c>
      <x:c r="L128" s="1" t="str">
        <x:v>25132</x:v>
      </x:c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</x:row>
    <x:row r="129">
      <x:c r="A129" s="1" t="n">
        <x:v>29</x:v>
      </x:c>
      <x:c r="B129" s="1"/>
      <x:c r="C129" s="1"/>
      <x:c r="D129" s="1"/>
      <x:c r="E129" s="1"/>
      <x:c r="F129" s="1"/>
      <x:c r="G129" s="1" t="str">
        <x:v>BR</x:v>
      </x:c>
      <x:c r="H129" s="1"/>
      <x:c r="I129" s="1" t="n">
        <x:v>350</x:v>
      </x:c>
      <x:c r="J129" s="1"/>
      <x:c r="K129" s="1" t="str">
        <x:v>S0100</x:v>
      </x:c>
      <x:c r="L129" s="3" t="d">
        <x:v>2026-03-18T00:00:00.000Z</x:v>
      </x:c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</x:row>
    <x:row r="131">
      <x:c r="A131" s="1" t="str">
        <x:v>! Section</x:v>
      </x:c>
      <x:c r="B131" s="1" t="str">
        <x:v>Soil_layer_observations_summary</x:v>
      </x:c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</x:row>
    <x:row r="132">
      <x:c r="A132" s="1" t="str">
        <x:v>! Definitions</x:v>
      </x:c>
      <x:c r="B132" s="1" t="str">
        <x:v>Soil layer depth to upper boundary of sample (top)</x:v>
      </x:c>
      <x:c r="C132" s="1"/>
      <x:c r="D132" s="1" t="str">
        <x:v>Soil layer depth to lower boundary of sample (bottom)</x:v>
      </x:c>
      <x:c r="E132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F132" s="1" t="str">
        <x:v>Soil bulk density, moist, determined on field sample</x:v>
      </x:c>
      <x:c r="G132" s="1" t="str">
        <x:v>Organic carbon expressed as g[C]/100 g[soil]</x:v>
      </x:c>
      <x:c r="H132" s="1" t="str">
        <x:v>Nitrogen, total soil, total</x:v>
      </x:c>
      <x:c r="I132" s="1" t="str">
        <x:v>pH of soil in water, from in-field sample</x:v>
      </x:c>
      <x:c r="J132" s="1" t="str">
        <x:v>Soil water, extractable at maturity</x:v>
      </x:c>
      <x:c r="K132" s="1" t="str">
        <x:v>N, inorganic, in soil at harvest maturity</x:v>
      </x:c>
      <x:c r="L132" s="1" t="str">
        <x:v>N leached up to harvest maturity, from bottom of soil profile</x:v>
      </x:c>
      <x:c r="M132" s="1" t="str">
        <x:v>N uptake during season</x:v>
      </x:c>
      <x:c r="N132" s="1" t="str">
        <x:v>Soil P at maturity</x:v>
      </x:c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</x:row>
    <x:row r="133">
      <x:c r="A133" s="1" t="str">
        <x:v>! Units</x:v>
      </x:c>
      <x:c r="B133" s="1" t="str">
        <x:v>cm</x:v>
      </x:c>
      <x:c r="C133" s="1"/>
      <x:c r="D133" s="1" t="str">
        <x:v>cm</x:v>
      </x:c>
      <x:c r="E133" s="1" t="str">
        <x:v>text</x:v>
      </x:c>
      <x:c r="F133" s="1" t="str">
        <x:v>g/cm3</x:v>
      </x:c>
      <x:c r="G133" s="1" t="str">
        <x:v>%</x:v>
      </x:c>
      <x:c r="H133" s="1" t="str">
        <x:v>%</x:v>
      </x:c>
      <x:c r="I133" s="1" t="str">
        <x:v>number</x:v>
      </x:c>
      <x:c r="J133" s="1" t="str">
        <x:v>mm</x:v>
      </x:c>
      <x:c r="K133" s="1" t="str">
        <x:v>kg/ha</x:v>
      </x:c>
      <x:c r="L133" s="1" t="str">
        <x:v>kg/ha</x:v>
      </x:c>
      <x:c r="M133" s="1" t="str">
        <x:v>kg/ha</x:v>
      </x:c>
      <x:c r="N133" s="1" t="str">
        <x:v>kg/ha</x:v>
      </x:c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</x:row>
    <x:row r="134">
      <x:c r="A134" s="2" t="str">
        <x:v>%</x:v>
      </x:c>
      <x:c r="B134" s="2" t="str">
        <x:v>SLDUB</x:v>
      </x:c>
      <x:c r="C134" s="2"/>
      <x:c r="D134" s="2" t="str">
        <x:v>SLDLB</x:v>
      </x:c>
      <x:c r="E134" s="2" t="str">
        <x:v>grppls</x:v>
      </x:c>
      <x:c r="F134" s="2" t="str">
        <x:v>SABDM</x:v>
      </x:c>
      <x:c r="G134" s="2" t="str">
        <x:v> SAOC </x:v>
      </x:c>
      <x:c r="H134" s="2" t="str">
        <x:v>sani</x:v>
      </x:c>
      <x:c r="I134" s="2" t="str">
        <x:v>SAPHW</x:v>
      </x:c>
      <x:c r="J134" s="2" t="str">
        <x:v>SWXM</x:v>
      </x:c>
      <x:c r="K134" s="2" t="str">
        <x:v>wiam</x:v>
      </x:c>
      <x:c r="L134" s="2" t="str">
        <x:v> NLCM </x:v>
      </x:c>
      <x:c r="M134" s="2" t="str">
        <x:v>NUCM</x:v>
      </x:c>
      <x:c r="N134" s="2" t="str">
        <x:v>slpam</x:v>
      </x:c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</x:row>
    <x:row r="135">
      <x:c r="A135" s="1" t="n">
        <x:v>11</x:v>
      </x:c>
      <x:c r="B135" s="1"/>
      <x:c r="C135" s="1"/>
      <x:c r="D135" s="1"/>
      <x:c r="E135" s="1" t="str">
        <x:v>11</x:v>
      </x:c>
      <x:c r="F135" s="1"/>
      <x:c r="G135" s="1"/>
      <x:c r="H135" s="1"/>
      <x:c r="I135" s="1"/>
      <x:c r="J135" s="1" t="n">
        <x:v>49</x:v>
      </x:c>
      <x:c r="K135" s="1" t="n">
        <x:v>20</x:v>
      </x:c>
      <x:c r="L135" s="1" t="n">
        <x:v>4.6</x:v>
      </x:c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</x:row>
    <x:row r="136">
      <x:c r="A136" s="1" t="n">
        <x:v>17</x:v>
      </x:c>
      <x:c r="B136" s="1"/>
      <x:c r="C136" s="1"/>
      <x:c r="D136" s="1"/>
      <x:c r="E136" s="1" t="str">
        <x:v>17</x:v>
      </x:c>
      <x:c r="F136" s="1"/>
      <x:c r="G136" s="1"/>
      <x:c r="H136" s="1"/>
      <x:c r="I136" s="1"/>
      <x:c r="J136" s="1"/>
      <x:c r="K136" s="1" t="n">
        <x:v>23</x:v>
      </x:c>
      <x:c r="L136" s="1"/>
      <x:c r="M136" s="1" t="n">
        <x:v>84</x:v>
      </x:c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</x:row>
    <x:row r="137">
      <x:c r="A137" s="1" t="n">
        <x:v>23</x:v>
      </x:c>
      <x:c r="B137" s="1"/>
      <x:c r="C137" s="1"/>
      <x:c r="D137" s="1"/>
      <x:c r="E137" s="1" t="str">
        <x:v>23</x:v>
      </x:c>
      <x:c r="F137" s="1"/>
      <x:c r="G137" s="1" t="str">
        <x:v>-99</x:v>
      </x:c>
      <x:c r="H137" s="1"/>
      <x:c r="I137" s="1"/>
      <x:c r="J137" s="1" t="n">
        <x:v>45</x:v>
      </x:c>
      <x:c r="K137" s="1" t="n">
        <x:v>26</x:v>
      </x:c>
      <x:c r="L137" s="1"/>
      <x:c r="M137" s="1"/>
      <x:c r="N137" s="1" t="n">
        <x:v>33</x:v>
      </x:c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</x:row>
    <x:row r="138">
      <x:c r="A138" s="1" t="n">
        <x:v>29</x:v>
      </x:c>
      <x:c r="B138" s="1"/>
      <x:c r="C138" s="1"/>
      <x:c r="D138" s="1"/>
      <x:c r="E138" s="1" t="str">
        <x:v>29</x:v>
      </x:c>
      <x:c r="F138" s="1"/>
      <x:c r="G138" s="1"/>
      <x:c r="H138" s="1"/>
      <x:c r="I138" s="1"/>
      <x:c r="J138" s="1"/>
      <x:c r="K138" s="1" t="n">
        <x:v>29</x:v>
      </x:c>
      <x:c r="L138" s="1" t="n">
        <x:v>7</x:v>
      </x:c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</x:row>
    <x:row r="139">
      <x:c r="A139" s="1" t="n">
        <x:v>11</x:v>
      </x:c>
      <x:c r="B139" s="1" t="n">
        <x:v>0</x:v>
      </x:c>
      <x:c r="C139" s="1"/>
      <x:c r="D139" s="1" t="n">
        <x:v>20</x:v>
      </x:c>
      <x:c r="E139" s="1" t="str">
        <x:v>11</x:v>
      </x:c>
      <x:c r="F139" s="1" t="n">
        <x:v>1.295</x:v>
      </x:c>
      <x:c r="G139" s="1" t="n">
        <x:v>1.25</x:v>
      </x:c>
      <x:c r="H139" s="1"/>
      <x:c r="I139" s="1" t="n">
        <x:v>6.22</x:v>
      </x:c>
      <x:c r="J139" s="1" t="str">
        <x:v>-99.0</x:v>
      </x:c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</x:row>
    <x:row r="140">
      <x:c r="A140" s="1" t="n">
        <x:v>11</x:v>
      </x:c>
      <x:c r="B140" s="1" t="n">
        <x:v>20</x:v>
      </x:c>
      <x:c r="C140" s="1"/>
      <x:c r="D140" s="1" t="n">
        <x:v>40</x:v>
      </x:c>
      <x:c r="E140" s="1" t="str">
        <x:v>11</x:v>
      </x:c>
      <x:c r="F140" s="1" t="n">
        <x:v>1.335</x:v>
      </x:c>
      <x:c r="G140" s="1" t="n">
        <x:v>0.95</x:v>
      </x:c>
      <x:c r="H140" s="1"/>
      <x:c r="I140" s="1" t="n">
        <x:v>6.12</x:v>
      </x:c>
      <x:c r="J140" s="1"/>
      <x:c r="K140" s="1" t="str">
        <x:v>-99</x:v>
      </x:c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</x:row>
    <x:row r="141">
      <x:c r="A141" s="1" t="n">
        <x:v>17</x:v>
      </x:c>
      <x:c r="B141" s="1" t="n">
        <x:v>0</x:v>
      </x:c>
      <x:c r="C141" s="1"/>
      <x:c r="D141" s="1" t="n">
        <x:v>20</x:v>
      </x:c>
      <x:c r="E141" s="1" t="str">
        <x:v>17</x:v>
      </x:c>
      <x:c r="F141" s="1" t="n">
        <x:v>1.295</x:v>
      </x:c>
      <x:c r="G141" s="1" t="n">
        <x:v>1.27</x:v>
      </x:c>
      <x:c r="H141" s="1"/>
      <x:c r="I141" s="1" t="n">
        <x:v>6.22</x:v>
      </x:c>
      <x:c r="J141" s="1" t="str">
        <x:v>-99</x:v>
      </x:c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</x:row>
    <x:row r="142">
      <x:c r="A142" s="1" t="n">
        <x:v>17</x:v>
      </x:c>
      <x:c r="B142" s="1" t="n">
        <x:v>20</x:v>
      </x:c>
      <x:c r="C142" s="1"/>
      <x:c r="D142" s="1" t="n">
        <x:v>40</x:v>
      </x:c>
      <x:c r="E142" s="1" t="str">
        <x:v>17</x:v>
      </x:c>
      <x:c r="F142" s="1" t="n">
        <x:v>1.335</x:v>
      </x:c>
      <x:c r="G142" s="1" t="n">
        <x:v>0.97</x:v>
      </x:c>
      <x:c r="H142" s="1"/>
      <x:c r="I142" s="1" t="n">
        <x:v>6.12</x:v>
      </x:c>
      <x:c r="J142" s="1"/>
      <x:c r="K142" s="1"/>
      <x:c r="L142" s="1"/>
      <x:c r="M142" s="1" t="str">
        <x:v>-99</x:v>
      </x:c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</x:row>
    <x:row r="143">
      <x:c r="A143" s="1" t="n">
        <x:v>23</x:v>
      </x:c>
      <x:c r="B143" s="1" t="n">
        <x:v>0</x:v>
      </x:c>
      <x:c r="C143" s="1"/>
      <x:c r="D143" s="1" t="n">
        <x:v>20</x:v>
      </x:c>
      <x:c r="E143" s="1" t="str">
        <x:v>23</x:v>
      </x:c>
      <x:c r="F143" s="1" t="n">
        <x:v>1.295</x:v>
      </x:c>
      <x:c r="G143" s="1" t="n">
        <x:v>1.29</x:v>
      </x:c>
      <x:c r="H143" s="1"/>
      <x:c r="I143" s="1" t="n">
        <x:v>6.22</x:v>
      </x:c>
      <x:c r="J143" s="1"/>
      <x:c r="K143" s="1"/>
      <x:c r="L143" s="1"/>
      <x:c r="M143" s="1"/>
      <x:c r="N143" s="1" t="str">
        <x:v>-99</x:v>
      </x:c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</x:row>
    <x:row r="144">
      <x:c r="A144" s="1" t="n">
        <x:v>23</x:v>
      </x:c>
      <x:c r="B144" s="1" t="n">
        <x:v>20</x:v>
      </x:c>
      <x:c r="C144" s="1"/>
      <x:c r="D144" s="1" t="n">
        <x:v>40</x:v>
      </x:c>
      <x:c r="E144" s="1" t="str">
        <x:v>23</x:v>
      </x:c>
      <x:c r="F144" s="1" t="n">
        <x:v>1.335</x:v>
      </x:c>
      <x:c r="G144" s="1" t="n">
        <x:v>0.99</x:v>
      </x:c>
      <x:c r="H144" s="1"/>
      <x:c r="I144" s="1" t="n">
        <x:v>6.12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</x:row>
    <x:row r="145">
      <x:c r="A145" s="1" t="n">
        <x:v>29</x:v>
      </x:c>
      <x:c r="B145" s="1" t="n">
        <x:v>0</x:v>
      </x:c>
      <x:c r="C145" s="1"/>
      <x:c r="D145" s="1" t="n">
        <x:v>20</x:v>
      </x:c>
      <x:c r="E145" s="1" t="str">
        <x:v>29</x:v>
      </x:c>
      <x:c r="F145" s="1" t="n">
        <x:v>1.295</x:v>
      </x:c>
      <x:c r="G145" s="1" t="n">
        <x:v>1.31</x:v>
      </x:c>
      <x:c r="H145" s="1" t="str">
        <x:v>-99</x:v>
      </x:c>
      <x:c r="I145" s="1" t="n">
        <x:v>6.22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</x:row>
    <x:row r="146">
      <x:c r="A146" s="1" t="n">
        <x:v>29</x:v>
      </x:c>
      <x:c r="B146" s="1" t="n">
        <x:v>20</x:v>
      </x:c>
      <x:c r="C146" s="1"/>
      <x:c r="D146" s="1" t="n">
        <x:v>40</x:v>
      </x:c>
      <x:c r="E146" s="1" t="str">
        <x:v>29</x:v>
      </x:c>
      <x:c r="F146" s="1" t="n">
        <x:v>1.335</x:v>
      </x:c>
      <x:c r="G146" s="1" t="n">
        <x:v>1.01</x:v>
      </x:c>
      <x:c r="H146" s="1"/>
      <x:c r="I146" s="1" t="n">
        <x:v>6.12</x:v>
      </x:c>
      <x:c r="J146" s="1" t="str">
        <x:v>-99.0</x:v>
      </x:c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</x:row>
    <x:row r="148">
      <x:c r="A148" s="1" t="str">
        <x:v>! Section</x:v>
      </x:c>
      <x:c r="B148" s="1" t="str">
        <x:v>Soil_layer_observations_timeseries</x:v>
      </x:c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</x:row>
    <x:row r="149">
      <x:c r="A149" s="1" t="str">
        <x:v>! Definitions</x:v>
      </x:c>
      <x:c r="B149" s="1" t="str">
        <x:v>Soil temperature of given soil layer</x:v>
      </x:c>
      <x:c r="C149" s="1"/>
      <x:c r="D149" s="1" t="str">
        <x:v>NH4[N], for a given soil layer</x:v>
      </x:c>
      <x:c r="E149" s="1" t="str">
        <x:v>NO3[N], for a given soil layer</x:v>
      </x:c>
      <x:c r="F149" s="1" t="str">
        <x:v>Root length_density (ratio of length to soil volume) in a soil layer</x:v>
      </x:c>
      <x:c r="G149" s="1" t="str">
        <x:v>Soil water measured at a specified depth</x:v>
      </x:c>
      <x:c r="H149" s="1" t="str">
        <x:v>Phosphorus, extractable</x:v>
      </x:c>
      <x:c r="I149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J149" s="1" t="str">
        <x:v>Soil layer depth to lower boundary of sample (bottom)</x:v>
      </x:c>
      <x:c r="K149" s="1" t="str">
        <x:v>Soil layer depth to upper boundary of sample (top)</x:v>
      </x:c>
      <x:c r="L149" s="1" t="str">
        <x:v>Date of measurement; use YYYY-MM-DD.</x:v>
      </x:c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</x:row>
    <x:row r="150">
      <x:c r="A150" s="1" t="str">
        <x:v>! Units</x:v>
      </x:c>
      <x:c r="B150" s="1" t="str">
        <x:v>degree_C</x:v>
      </x:c>
      <x:c r="C150" s="1"/>
      <x:c r="D150" s="1" t="str">
        <x:v>g/Mg</x:v>
      </x:c>
      <x:c r="E150" s="1" t="str">
        <x:v>g/Mg</x:v>
      </x:c>
      <x:c r="F150" s="1" t="str">
        <x:v>cm/cm3</x:v>
      </x:c>
      <x:c r="G150" s="1" t="str">
        <x:v>cm3/cm3</x:v>
      </x:c>
      <x:c r="H150" s="1" t="str">
        <x:v>mg/kg</x:v>
      </x:c>
      <x:c r="I150" s="1" t="str">
        <x:v>text</x:v>
      </x:c>
      <x:c r="J150" s="1" t="str">
        <x:v>cm</x:v>
      </x:c>
      <x:c r="K150" s="1" t="str">
        <x:v>cm</x:v>
      </x:c>
      <x:c r="L150" s="1" t="str">
        <x:v>date</x:v>
      </x:c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</x:row>
    <x:row r="151">
      <x:c r="A151" s="2" t="str">
        <x:v>%</x:v>
      </x:c>
      <x:c r="B151" s="2" t="str">
        <x:v> TMPSLD </x:v>
      </x:c>
      <x:c r="C151" s="2"/>
      <x:c r="D151" s="2" t="str">
        <x:v>nhsld</x:v>
      </x:c>
      <x:c r="E151" s="2" t="str">
        <x:v>NOSLD</x:v>
      </x:c>
      <x:c r="F151" s="2" t="str">
        <x:v>RLDLD</x:v>
      </x:c>
      <x:c r="G151" s="2" t="str">
        <x:v>spld</x:v>
      </x:c>
      <x:c r="H151" s="2" t="str">
        <x:v> SLPX </x:v>
      </x:c>
      <x:c r="I151" s="2" t="str">
        <x:v>GRPPLS</x:v>
      </x:c>
      <x:c r="J151" s="2" t="str">
        <x:v>sldlb</x:v>
      </x:c>
      <x:c r="K151" s="2" t="str">
        <x:v>SLDUB</x:v>
      </x:c>
      <x:c r="L151" s="2" t="str">
        <x:v>DATE</x:v>
      </x:c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</x:row>
    <x:row r="152">
      <x:c r="A152" s="1" t="n">
        <x:v>11</x:v>
      </x:c>
      <x:c r="B152" s="1" t="n">
        <x:v>17.93</x:v>
      </x:c>
      <x:c r="C152" s="1"/>
      <x:c r="D152" s="1" t="n">
        <x:v>1.24</x:v>
      </x:c>
      <x:c r="E152" s="1" t="n">
        <x:v>4.8</x:v>
      </x:c>
      <x:c r="F152" s="1"/>
      <x:c r="G152" s="1" t="n">
        <x:v>0.193</x:v>
      </x:c>
      <x:c r="H152" s="1" t="n">
        <x:v>16.8</x:v>
      </x:c>
      <x:c r="I152" s="1" t="str">
        <x:v>11</x:v>
      </x:c>
      <x:c r="J152" s="1" t="n">
        <x:v>20</x:v>
      </x:c>
      <x:c r="K152" s="1" t="n">
        <x:v>0</x:v>
      </x:c>
      <x:c r="L152" s="1" t="str">
        <x:v> 2023-04-03</x:v>
      </x:c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</x:row>
    <x:row r="153">
      <x:c r="A153" s="1" t="n">
        <x:v>11</x:v>
      </x:c>
      <x:c r="B153" s="1" t="n">
        <x:v>17.33</x:v>
      </x:c>
      <x:c r="C153" s="1"/>
      <x:c r="D153" s="1" t="n">
        <x:v>1.08</x:v>
      </x:c>
      <x:c r="E153" s="1" t="n">
        <x:v>4.3</x:v>
      </x:c>
      <x:c r="F153" s="1"/>
      <x:c r="G153" s="1" t="n">
        <x:v>0.203</x:v>
      </x:c>
      <x:c r="H153" s="1" t="n">
        <x:v>14.8</x:v>
      </x:c>
      <x:c r="I153" s="1" t="str">
        <x:v>11</x:v>
      </x:c>
      <x:c r="J153" s="1" t="n">
        <x:v>40</x:v>
      </x:c>
      <x:c r="K153" s="1" t="n">
        <x:v>20</x:v>
      </x:c>
      <x:c r="L153" s="1" t="str">
        <x:v>2023-4-3</x:v>
      </x:c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</x:row>
    <x:row r="154">
      <x:c r="A154" s="1" t="n">
        <x:v>11</x:v>
      </x:c>
      <x:c r="B154" s="1" t="n">
        <x:v>20.4</x:v>
      </x:c>
      <x:c r="C154" s="1"/>
      <x:c r="D154" s="1" t="n">
        <x:v>1.15</x:v>
      </x:c>
      <x:c r="E154" s="1" t="n">
        <x:v>3.9</x:v>
      </x:c>
      <x:c r="F154" s="1"/>
      <x:c r="G154" s="1" t="n">
        <x:v>0.195</x:v>
      </x:c>
      <x:c r="H154" s="1" t="n">
        <x:v>16.5</x:v>
      </x:c>
      <x:c r="I154" s="1" t="str">
        <x:v>11</x:v>
      </x:c>
      <x:c r="J154" s="1" t="n">
        <x:v>20</x:v>
      </x:c>
      <x:c r="K154" s="1" t="n">
        <x:v>0</x:v>
      </x:c>
      <x:c r="L154" s="1" t="str">
        <x:v>23129</x:v>
      </x:c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</x:row>
    <x:row r="155">
      <x:c r="A155" s="1" t="n">
        <x:v>11</x:v>
      </x:c>
      <x:c r="B155" s="1" t="n">
        <x:v>19.8</x:v>
      </x:c>
      <x:c r="C155" s="1"/>
      <x:c r="D155" s="1" t="n">
        <x:v>0.99</x:v>
      </x:c>
      <x:c r="E155" s="1" t="n">
        <x:v>3.4</x:v>
      </x:c>
      <x:c r="F155" s="1"/>
      <x:c r="G155" s="1" t="n">
        <x:v>0.205</x:v>
      </x:c>
      <x:c r="H155" s="1" t="n">
        <x:v>14.5</x:v>
      </x:c>
      <x:c r="I155" s="1" t="str">
        <x:v>11</x:v>
      </x:c>
      <x:c r="J155" s="1" t="n">
        <x:v>40</x:v>
      </x:c>
      <x:c r="K155" s="1" t="n">
        <x:v>20</x:v>
      </x:c>
      <x:c r="L155" s="3" t="d">
        <x:v>2023-05-09T00:00:00.000Z</x:v>
      </x:c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</x:row>
    <x:row r="156">
      <x:c r="A156" s="1" t="n">
        <x:v>11</x:v>
      </x:c>
      <x:c r="B156" s="1" t="n">
        <x:v>17.12</x:v>
      </x:c>
      <x:c r="C156" s="1"/>
      <x:c r="D156" s="1" t="n">
        <x:v>1.04</x:v>
      </x:c>
      <x:c r="E156" s="1" t="n">
        <x:v>2.85</x:v>
      </x:c>
      <x:c r="F156" s="1"/>
      <x:c r="G156" s="1" t="n">
        <x:v>0.166</x:v>
      </x:c>
      <x:c r="H156" s="1" t="n">
        <x:v>16.15</x:v>
      </x:c>
      <x:c r="I156" s="1" t="str">
        <x:v>11</x:v>
      </x:c>
      <x:c r="J156" s="1" t="n">
        <x:v>20</x:v>
      </x:c>
      <x:c r="K156" s="1" t="n">
        <x:v>0</x:v>
      </x:c>
      <x:c r="L156" s="1" t="str">
        <x:v> 2023-06-20</x:v>
      </x:c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</x:row>
    <x:row r="157">
      <x:c r="A157" s="1" t="n">
        <x:v>11</x:v>
      </x:c>
      <x:c r="B157" s="1" t="n">
        <x:v>16.52</x:v>
      </x:c>
      <x:c r="C157" s="1"/>
      <x:c r="D157" s="1" t="n">
        <x:v>0.88</x:v>
      </x:c>
      <x:c r="E157" s="1" t="n">
        <x:v>2.35</x:v>
      </x:c>
      <x:c r="F157" s="1"/>
      <x:c r="G157" s="1" t="n">
        <x:v>0.176</x:v>
      </x:c>
      <x:c r="H157" s="1" t="n">
        <x:v>14.15</x:v>
      </x:c>
      <x:c r="I157" s="1" t="str">
        <x:v>11</x:v>
      </x:c>
      <x:c r="J157" s="1" t="n">
        <x:v>40</x:v>
      </x:c>
      <x:c r="K157" s="1" t="n">
        <x:v>20</x:v>
      </x:c>
      <x:c r="L157" s="1" t="str">
        <x:v>2023-6-20</x:v>
      </x:c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</x:row>
    <x:row r="158">
      <x:c r="A158" s="1" t="n">
        <x:v>17</x:v>
      </x:c>
      <x:c r="B158" s="1"/>
      <x:c r="C158" s="1"/>
      <x:c r="D158" s="1"/>
      <x:c r="E158" s="1"/>
      <x:c r="F158" s="1" t="n">
        <x:v>0.458</x:v>
      </x:c>
      <x:c r="G158" s="1" t="n">
        <x:v>0.196</x:v>
      </x:c>
      <x:c r="H158" s="1"/>
      <x:c r="I158" s="1" t="str">
        <x:v>17</x:v>
      </x:c>
      <x:c r="J158" s="1" t="n">
        <x:v>20</x:v>
      </x:c>
      <x:c r="K158" s="1" t="n">
        <x:v>0</x:v>
      </x:c>
      <x:c r="L158" s="1" t="str">
        <x:v>24137</x:v>
      </x:c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</x:row>
    <x:row r="159">
      <x:c r="A159" s="1" t="n">
        <x:v>17</x:v>
      </x:c>
      <x:c r="B159" s="1"/>
      <x:c r="C159" s="1"/>
      <x:c r="D159" s="1"/>
      <x:c r="E159" s="1"/>
      <x:c r="F159" s="1" t="n">
        <x:v>0.275</x:v>
      </x:c>
      <x:c r="G159" s="1" t="n">
        <x:v>0.206</x:v>
      </x:c>
      <x:c r="H159" s="1"/>
      <x:c r="I159" s="1" t="str">
        <x:v>17</x:v>
      </x:c>
      <x:c r="J159" s="1" t="n">
        <x:v>40</x:v>
      </x:c>
      <x:c r="K159" s="1" t="n">
        <x:v>20</x:v>
      </x:c>
      <x:c r="L159" s="3" t="d">
        <x:v>2024-05-16T00:00:00.000Z</x:v>
      </x:c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</x:row>
    <x:row r="160">
      <x:c r="A160" s="1" t="n">
        <x:v>17</x:v>
      </x:c>
      <x:c r="B160" s="1"/>
      <x:c r="C160" s="1"/>
      <x:c r="D160" s="1"/>
      <x:c r="E160" s="1"/>
      <x:c r="F160" s="1" t="n">
        <x:v>0.78</x:v>
      </x:c>
      <x:c r="G160" s="1" t="n">
        <x:v>0.198</x:v>
      </x:c>
      <x:c r="H160" s="1"/>
      <x:c r="I160" s="1" t="str">
        <x:v>17</x:v>
      </x:c>
      <x:c r="J160" s="1" t="n">
        <x:v>20</x:v>
      </x:c>
      <x:c r="K160" s="1" t="n">
        <x:v>0</x:v>
      </x:c>
      <x:c r="L160" s="1" t="str">
        <x:v> 2024-06-24</x:v>
      </x:c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</x:row>
    <x:row r="161">
      <x:c r="A161" s="1" t="n">
        <x:v>17</x:v>
      </x:c>
      <x:c r="B161" s="1"/>
      <x:c r="C161" s="1"/>
      <x:c r="D161" s="1"/>
      <x:c r="E161" s="1"/>
      <x:c r="F161" s="1" t="n">
        <x:v>0.468</x:v>
      </x:c>
      <x:c r="G161" s="1" t="n">
        <x:v>0.208</x:v>
      </x:c>
      <x:c r="H161" s="1"/>
      <x:c r="I161" s="1" t="str">
        <x:v>17</x:v>
      </x:c>
      <x:c r="J161" s="1" t="n">
        <x:v>40</x:v>
      </x:c>
      <x:c r="K161" s="1" t="n">
        <x:v>20</x:v>
      </x:c>
      <x:c r="L161" s="1" t="str">
        <x:v>2024-6-24</x:v>
      </x:c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</x:row>
    <x:row r="162">
      <x:c r="A162" s="1" t="n">
        <x:v>17</x:v>
      </x:c>
      <x:c r="B162" s="1"/>
      <x:c r="C162" s="1"/>
      <x:c r="D162" s="1"/>
      <x:c r="E162" s="1"/>
      <x:c r="F162" s="1" t="n">
        <x:v>0.354</x:v>
      </x:c>
      <x:c r="G162" s="1" t="n">
        <x:v>0.169</x:v>
      </x:c>
      <x:c r="H162" s="1"/>
      <x:c r="I162" s="1" t="str">
        <x:v>17</x:v>
      </x:c>
      <x:c r="J162" s="1" t="n">
        <x:v>20</x:v>
      </x:c>
      <x:c r="K162" s="1" t="n">
        <x:v>0</x:v>
      </x:c>
      <x:c r="L162" s="1" t="str">
        <x:v>24221</x:v>
      </x:c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</x:row>
    <x:row r="163">
      <x:c r="A163" s="1" t="n">
        <x:v>17</x:v>
      </x:c>
      <x:c r="B163" s="1"/>
      <x:c r="C163" s="1"/>
      <x:c r="D163" s="1"/>
      <x:c r="E163" s="1"/>
      <x:c r="F163" s="1" t="n">
        <x:v>0.212</x:v>
      </x:c>
      <x:c r="G163" s="1" t="n">
        <x:v>0.179</x:v>
      </x:c>
      <x:c r="H163" s="1"/>
      <x:c r="I163" s="1" t="str">
        <x:v>17</x:v>
      </x:c>
      <x:c r="J163" s="1" t="n">
        <x:v>40</x:v>
      </x:c>
      <x:c r="K163" s="1" t="n">
        <x:v>20</x:v>
      </x:c>
      <x:c r="L163" s="3" t="d">
        <x:v>2024-08-08T00:00:00.000Z</x:v>
      </x:c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</x:row>
    <x:row r="164">
      <x:c r="A164" s="1" t="n">
        <x:v>23</x:v>
      </x:c>
      <x:c r="B164" s="1" t="n">
        <x:v>17.93</x:v>
      </x:c>
      <x:c r="C164" s="1"/>
      <x:c r="D164" s="1" t="n">
        <x:v>1.24</x:v>
      </x:c>
      <x:c r="E164" s="1" t="n">
        <x:v>6.2</x:v>
      </x:c>
      <x:c r="F164" s="1"/>
      <x:c r="G164" s="1" t="n">
        <x:v>0.199</x:v>
      </x:c>
      <x:c r="H164" s="1"/>
      <x:c r="I164" s="1" t="str">
        <x:v>23</x:v>
      </x:c>
      <x:c r="J164" s="1" t="n">
        <x:v>20</x:v>
      </x:c>
      <x:c r="K164" s="1" t="n">
        <x:v>0</x:v>
      </x:c>
      <x:c r="L164" s="1" t="str">
        <x:v> 2025-06-03</x:v>
      </x:c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</x:row>
    <x:row r="165">
      <x:c r="A165" s="1" t="n">
        <x:v>23</x:v>
      </x:c>
      <x:c r="B165" s="1" t="n">
        <x:v>17.33</x:v>
      </x:c>
      <x:c r="C165" s="1"/>
      <x:c r="D165" s="1" t="n">
        <x:v>1.08</x:v>
      </x:c>
      <x:c r="E165" s="1" t="n">
        <x:v>5.7</x:v>
      </x:c>
      <x:c r="F165" s="1"/>
      <x:c r="G165" s="1" t="n">
        <x:v>0.209</x:v>
      </x:c>
      <x:c r="H165" s="1"/>
      <x:c r="I165" s="1" t="str">
        <x:v>23</x:v>
      </x:c>
      <x:c r="J165" s="1" t="n">
        <x:v>40</x:v>
      </x:c>
      <x:c r="K165" s="1" t="n">
        <x:v>20</x:v>
      </x:c>
      <x:c r="L165" s="1" t="str">
        <x:v>2025-6-3</x:v>
      </x:c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</x:row>
    <x:row r="166">
      <x:c r="A166" s="1" t="n">
        <x:v>23</x:v>
      </x:c>
      <x:c r="B166" s="1" t="n">
        <x:v>20.4</x:v>
      </x:c>
      <x:c r="C166" s="1"/>
      <x:c r="D166" s="1" t="n">
        <x:v>1.15</x:v>
      </x:c>
      <x:c r="E166" s="1" t="n">
        <x:v>5.3</x:v>
      </x:c>
      <x:c r="F166" s="1"/>
      <x:c r="G166" s="1" t="n">
        <x:v>0.201</x:v>
      </x:c>
      <x:c r="H166" s="1"/>
      <x:c r="I166" s="1" t="str">
        <x:v>23</x:v>
      </x:c>
      <x:c r="J166" s="1" t="n">
        <x:v>20</x:v>
      </x:c>
      <x:c r="K166" s="1" t="n">
        <x:v>0</x:v>
      </x:c>
      <x:c r="L166" s="1" t="str">
        <x:v>25187</x:v>
      </x:c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</x:row>
    <x:row r="167">
      <x:c r="A167" s="1" t="n">
        <x:v>23</x:v>
      </x:c>
      <x:c r="B167" s="1" t="n">
        <x:v>19.8</x:v>
      </x:c>
      <x:c r="C167" s="1"/>
      <x:c r="D167" s="1" t="n">
        <x:v>0.99</x:v>
      </x:c>
      <x:c r="E167" s="1" t="n">
        <x:v>4.8</x:v>
      </x:c>
      <x:c r="F167" s="1"/>
      <x:c r="G167" s="1" t="n">
        <x:v>0.211</x:v>
      </x:c>
      <x:c r="H167" s="1" t="str">
        <x:v>-99.0</x:v>
      </x:c>
      <x:c r="I167" s="1" t="str">
        <x:v>23</x:v>
      </x:c>
      <x:c r="J167" s="1" t="n">
        <x:v>40</x:v>
      </x:c>
      <x:c r="K167" s="1" t="n">
        <x:v>20</x:v>
      </x:c>
      <x:c r="L167" s="3" t="d">
        <x:v>2025-07-06T00:00:00.000Z</x:v>
      </x:c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</x:row>
    <x:row r="168">
      <x:c r="A168" s="1" t="n">
        <x:v>23</x:v>
      </x:c>
      <x:c r="B168" s="1" t="n">
        <x:v>17.12</x:v>
      </x:c>
      <x:c r="C168" s="1"/>
      <x:c r="D168" s="1" t="n">
        <x:v>1.04</x:v>
      </x:c>
      <x:c r="E168" s="1" t="n">
        <x:v>4.25</x:v>
      </x:c>
      <x:c r="F168" s="1"/>
      <x:c r="G168" s="1" t="n">
        <x:v>0.172</x:v>
      </x:c>
      <x:c r="H168" s="1"/>
      <x:c r="I168" s="1" t="str">
        <x:v>23</x:v>
      </x:c>
      <x:c r="J168" s="1" t="n">
        <x:v>20</x:v>
      </x:c>
      <x:c r="K168" s="1" t="n">
        <x:v>0</x:v>
      </x:c>
      <x:c r="L168" s="1" t="str">
        <x:v> 2025-08-14</x:v>
      </x:c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</x:row>
    <x:row r="169">
      <x:c r="A169" s="1"/>
      <x:c r="B169" s="1" t="n">
        <x:v>23</x:v>
      </x:c>
      <x:c r="C169" s="1" t="n">
        <x:v>16.52</x:v>
      </x:c>
      <x:c r="D169" s="1"/>
      <x:c r="E169" s="1" t="n">
        <x:v>0.88</x:v>
      </x:c>
      <x:c r="F169" s="1" t="n">
        <x:v>3.75</x:v>
      </x:c>
      <x:c r="G169" s="1"/>
      <x:c r="H169" s="1" t="n">
        <x:v>0.182</x:v>
      </x:c>
      <x:c r="I169" s="1"/>
      <x:c r="J169" s="1" t="str">
        <x:v>23</x:v>
      </x:c>
      <x:c r="K169" s="1" t="n">
        <x:v>40</x:v>
      </x:c>
      <x:c r="L169" s="1" t="n">
        <x:v>20</x:v>
      </x:c>
      <x:c r="M169" s="1" t="str">
        <x:v>2025-8-14</x:v>
      </x:c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</x:row>
    <x:row r="170">
      <x:c r="A170" s="1"/>
      <x:c r="B170" s="1" t="n">
        <x:v>29</x:v>
      </x:c>
      <x:c r="C170" s="1"/>
      <x:c r="D170" s="1"/>
      <x:c r="E170" s="1" t="n">
        <x:v>1.24</x:v>
      </x:c>
      <x:c r="F170" s="1" t="n">
        <x:v>6.9</x:v>
      </x:c>
      <x:c r="G170" s="1"/>
      <x:c r="H170" s="1" t="n">
        <x:v>0.193</x:v>
      </x:c>
      <x:c r="I170" s="1"/>
      <x:c r="J170" s="1" t="str">
        <x:v>29</x:v>
      </x:c>
      <x:c r="K170" s="1" t="n">
        <x:v>20</x:v>
      </x:c>
      <x:c r="L170" s="1" t="n">
        <x:v>0</x:v>
      </x:c>
      <x:c r="M170" s="1" t="str">
        <x:v>26102</x:v>
      </x:c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</x:row>
    <x:row r="171">
      <x:c r="A171" s="1" t="n">
        <x:v>29</x:v>
      </x:c>
      <x:c r="B171" s="1" t="str">
        <x:v>-99.0</x:v>
      </x:c>
      <x:c r="C171" s="1"/>
      <x:c r="D171" s="1" t="n">
        <x:v>1.08</x:v>
      </x:c>
      <x:c r="E171" s="1" t="n">
        <x:v>6.4</x:v>
      </x:c>
      <x:c r="F171" s="1"/>
      <x:c r="G171" s="1" t="n">
        <x:v>0.203</x:v>
      </x:c>
      <x:c r="H171" s="1"/>
      <x:c r="I171" s="1" t="str">
        <x:v>29</x:v>
      </x:c>
      <x:c r="J171" s="1" t="n">
        <x:v>40</x:v>
      </x:c>
      <x:c r="K171" s="1" t="n">
        <x:v>20</x:v>
      </x:c>
      <x:c r="L171" s="3" t="d">
        <x:v>2026-04-12T00:00:00.000Z</x:v>
      </x:c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</x:row>
    <x:row r="172">
      <x:c r="A172" s="1" t="n">
        <x:v>29</x:v>
      </x:c>
      <x:c r="B172" s="1"/>
      <x:c r="C172" s="1"/>
      <x:c r="D172" s="1" t="n">
        <x:v>1.15</x:v>
      </x:c>
      <x:c r="E172" s="1" t="n">
        <x:v>6</x:v>
      </x:c>
      <x:c r="F172" s="1"/>
      <x:c r="G172" s="1" t="n">
        <x:v>0.195</x:v>
      </x:c>
      <x:c r="H172" s="1"/>
      <x:c r="I172" s="1" t="str">
        <x:v>29</x:v>
      </x:c>
      <x:c r="J172" s="1" t="n">
        <x:v>20</x:v>
      </x:c>
      <x:c r="K172" s="1" t="n">
        <x:v>0</x:v>
      </x:c>
      <x:c r="L172" s="1" t="str">
        <x:v> 2026-05-19</x:v>
      </x:c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</x:row>
    <x:row r="173">
      <x:c r="A173" s="1" t="n">
        <x:v>29</x:v>
      </x:c>
      <x:c r="B173" s="1" t="str">
        <x:v>-99.0</x:v>
      </x:c>
      <x:c r="C173" s="1"/>
      <x:c r="D173" s="1" t="n">
        <x:v>0.99</x:v>
      </x:c>
      <x:c r="E173" s="1" t="n">
        <x:v>5.5</x:v>
      </x:c>
      <x:c r="F173" s="1"/>
      <x:c r="G173" s="1" t="n">
        <x:v>0.205</x:v>
      </x:c>
      <x:c r="H173" s="1"/>
      <x:c r="I173" s="1" t="str">
        <x:v>29</x:v>
      </x:c>
      <x:c r="J173" s="1" t="n">
        <x:v>40</x:v>
      </x:c>
      <x:c r="K173" s="1" t="n">
        <x:v>20</x:v>
      </x:c>
      <x:c r="L173" s="1" t="str">
        <x:v>2026-5-19</x:v>
      </x:c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</x:row>
    <x:row r="174">
      <x:c r="A174" s="1" t="n">
        <x:v>29</x:v>
      </x:c>
      <x:c r="B174" s="1" t="str">
        <x:v>-99</x:v>
      </x:c>
      <x:c r="C174" s="1"/>
      <x:c r="D174" s="1" t="n">
        <x:v>1.04</x:v>
      </x:c>
      <x:c r="E174" s="1" t="n">
        <x:v>4.95</x:v>
      </x:c>
      <x:c r="F174" s="1" t="str">
        <x:v>-99</x:v>
      </x:c>
      <x:c r="G174" s="1" t="n">
        <x:v>0.166</x:v>
      </x:c>
      <x:c r="H174" s="1"/>
      <x:c r="I174" s="1" t="str">
        <x:v>29</x:v>
      </x:c>
      <x:c r="J174" s="1" t="n">
        <x:v>20</x:v>
      </x:c>
      <x:c r="K174" s="1" t="n">
        <x:v>0</x:v>
      </x:c>
      <x:c r="L174" s="1" t="str">
        <x:v>26183</x:v>
      </x:c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</x:row>
    <x:row r="175">
      <x:c r="A175" s="1" t="n">
        <x:v>29</x:v>
      </x:c>
      <x:c r="B175" s="1"/>
      <x:c r="C175" s="1"/>
      <x:c r="D175" s="1" t="n">
        <x:v>0.88</x:v>
      </x:c>
      <x:c r="E175" s="1" t="n">
        <x:v>4.45</x:v>
      </x:c>
      <x:c r="F175" s="1"/>
      <x:c r="G175" s="1" t="n">
        <x:v>0.176</x:v>
      </x:c>
      <x:c r="H175" s="1" t="str">
        <x:v>-99.0</x:v>
      </x:c>
      <x:c r="I175" s="1" t="str">
        <x:v>29</x:v>
      </x:c>
      <x:c r="J175" s="1" t="n">
        <x:v>40</x:v>
      </x:c>
      <x:c r="K175" s="1" t="n">
        <x:v>20</x:v>
      </x:c>
      <x:c r="L175" s="3" t="d">
        <x:v>2026-07-02T00:00:00.000Z</x:v>
      </x:c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</x:row>
  </x:sheetData>
  <x:pageMargins left="0.7" right="0.7" top="0.75" bottom="0.75" header="0.3" footer="0.3"/>
</x:worksheet>
</file>