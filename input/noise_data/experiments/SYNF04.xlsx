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619084924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-mgmt" sheetId="1" r:id="R61729b447e3c4d17"/>
    <x:sheet xmlns:r="http://schemas.openxmlformats.org/officeDocument/2006/relationships" name="Sheet2" sheetId="2" r:id="R8ee87f55bb01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d8cdadaf24d5d" /><Relationship Type="http://schemas.openxmlformats.org/officeDocument/2006/relationships/theme" Target="/xl/theme/theme1.xml" Id="Re4dd9ef006134865" /><Relationship Type="http://schemas.openxmlformats.org/officeDocument/2006/relationships/sharedStrings" Target="/xl/sharedStrings.xml" Id="R1b2b238c2ab044d0" /><Relationship Type="http://schemas.openxmlformats.org/officeDocument/2006/relationships/worksheet" Target="/xl/worksheets/sheet1.xml" Id="R61729b447e3c4d17" /><Relationship Type="http://schemas.openxmlformats.org/officeDocument/2006/relationships/worksheet" Target="/xl/worksheets/sheet2.xml" Id="R8ee87f55bb01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1" t="str">
        <x:v>! Synthetic field experiment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</x:row>
    <x:row r="18">
      <x:c r="A18" s="1" t="str">
        <x:v>! Definitions</x:v>
      </x:c>
      <x:c r="B18" s="1" t="str">
        <x:v>Plot identification</x:v>
      </x:c>
      <x:c r="C18" s="1"/>
      <x:c r="D18" s="1" t="str">
        <x:v>Soil identifier linking from SOIL_PROFILES for a single profile</x:v>
      </x:c>
      <x:c r="E18" s="1" t="str">
        <x:v>Field, identifier usually consisting of institution+site+4 digit number</x:v>
      </x:c>
      <x:c r="F18" s="1" t="str">
        <x:v>Plot area (gross) per rep</x:v>
      </x:c>
      <x:c r="G18" s="1" t="str">
        <x:v>Plot length (gross) for single plot or treatment</x:v>
      </x:c>
      <x:c r="H18" s="1" t="str">
        <x:v>Plot width (gross) for single plot or treatment</x:v>
      </x:c>
      <x:c r="I18" s="1" t="str">
        <x:v>Plot harvest area</x:v>
      </x:c>
      <x:c r="J18" s="1" t="str">
        <x:v>Field latitude</x:v>
      </x:c>
      <x:c r="K18" s="1" t="str">
        <x:v>Field longitude, E positive, W negative</x:v>
      </x:c>
      <x:c r="L18" s="1" t="str">
        <x:v>Field slope (from horizontal)</x:v>
      </x:c>
      <x:c r="M18" s="1" t="str">
        <x:v>Unique identifier for a treatment record</x:v>
      </x:c>
      <x:c r="N18" s="1" t="str">
        <x:v>Identifier of the genotype used in the treatment</x:v>
      </x:c>
      <x:c r="O18" s="1" t="str">
        <x:v>Identifier of the weather station associated with the treatment</x:v>
      </x:c>
      <x:c r="P18" s="1" t="str">
        <x:v>Identifier of the initial-conditions treatment</x:v>
      </x:c>
      <x:c r="Q18" s="1" t="str">
        <x:v>Identifier of the planting treatment</x:v>
      </x:c>
      <x:c r="R18" s="1" t="str">
        <x:v>Identifier of the irrigation treatment</x:v>
      </x:c>
      <x:c r="S18" s="1" t="str">
        <x:v>Identifier of the fertilization treatment</x:v>
      </x:c>
      <x:c r="T18" s="1" t="str">
        <x:v>Identifier of the automatic irrigation treatment</x:v>
      </x:c>
      <x:c r="U18" s="1" t="str">
        <x:v>Identifier of the organic material application treatment</x:v>
      </x:c>
      <x:c r="V18" s="1" t="str">
        <x:v>Identifier of the chemical application treatment</x:v>
      </x:c>
      <x:c r="W18" s="1" t="str">
        <x:v>Identifier of the tillage treatment</x:v>
      </x:c>
      <x:c r="X18" s="1" t="str">
        <x:v>Identifier of the environmental modification treatment</x:v>
      </x:c>
      <x:c r="Y18" s="1" t="str">
        <x:v>Identifier of the harvest treatment</x:v>
      </x:c>
      <x:c r="Z18" s="1" t="str">
        <x:v>Identifier of the mulch treatment</x:v>
      </x:c>
      <x:c r="AA18" s="1" t="str">
        <x:v>Crop (or weed) species identifier</x:v>
      </x:c>
      <x:c r="AB18" s="1" t="str">
        <x:v>Preferred genotype identifier, potentially a cultivar, breeding line, hybrid, clone, population, or other.</x:v>
      </x:c>
      <x:c r="AC18" s="1" t="str">
        <x:v>Repeated field identifier</x:v>
      </x:c>
    </x:row>
    <x:row r="19">
      <x:c r="A19" s="1" t="str">
        <x:v>! Units</x:v>
      </x:c>
      <x:c r="B19" s="1" t="str">
        <x:v>text</x:v>
      </x:c>
      <x:c r="C19" s="1"/>
      <x:c r="D19" s="1" t="str">
        <x:v>text</x:v>
      </x:c>
      <x:c r="E19" s="1" t="str">
        <x:v>text</x:v>
      </x:c>
      <x:c r="F19" s="1" t="str">
        <x:v>m2</x:v>
      </x:c>
      <x:c r="G19" s="1" t="str">
        <x:v>m</x:v>
      </x:c>
      <x:c r="H19" s="1" t="str">
        <x:v>m</x:v>
      </x:c>
      <x:c r="I19" s="1" t="str">
        <x:v>m2</x:v>
      </x:c>
      <x:c r="J19" s="1" t="str">
        <x:v>decimal_degrees</x:v>
      </x:c>
      <x:c r="K19" s="1" t="str">
        <x:v>decimal_degrees</x:v>
      </x:c>
      <x:c r="L19" s="1" t="str">
        <x:v>percent</x:v>
      </x:c>
      <x:c r="M19" s="1" t="str">
        <x:v>text</x:v>
      </x:c>
      <x:c r="N19" s="1" t="str">
        <x:v>text</x:v>
      </x:c>
      <x:c r="O19" s="1" t="str">
        <x:v>text</x:v>
      </x:c>
      <x:c r="P19" s="1" t="str">
        <x:v>text</x:v>
      </x:c>
      <x:c r="Q19" s="1" t="str">
        <x:v>text</x:v>
      </x:c>
      <x:c r="R19" s="1" t="str">
        <x:v>text</x:v>
      </x:c>
      <x:c r="S19" s="1" t="str">
        <x:v>text</x:v>
      </x:c>
      <x:c r="T19" s="1" t="str">
        <x:v>text</x:v>
      </x:c>
      <x:c r="U19" s="1" t="str">
        <x:v>text</x:v>
      </x:c>
      <x:c r="V19" s="1" t="str">
        <x:v>text</x:v>
      </x:c>
      <x:c r="W19" s="1" t="str">
        <x:v>text</x:v>
      </x:c>
      <x:c r="X19" s="1" t="str">
        <x:v>text</x:v>
      </x:c>
      <x:c r="Y19" s="1" t="str">
        <x:v>text</x:v>
      </x:c>
      <x:c r="Z19" s="1" t="str">
        <x:v>text</x:v>
      </x:c>
      <x:c r="AA19" s="1" t="str">
        <x:v>code</x:v>
      </x:c>
      <x:c r="AB19" s="1" t="str">
        <x:v>text</x:v>
      </x:c>
      <x:c r="AC19" s="1" t="str">
        <x:v>Repeated field identifier</x:v>
      </x:c>
    </x:row>
    <x:row r="20">
      <x:c r="A20" s="2" t="str">
        <x:v>#</x:v>
      </x:c>
      <x:c r="B20" s="2" t="str">
        <x:v>PLTID</x:v>
      </x:c>
      <x:c r="C20" s="2"/>
      <x:c r="D20" s="2" t="str">
        <x:v>SOIL_ID</x:v>
      </x:c>
      <x:c r="E20" s="2" t="str">
        <x:v>field_id</x:v>
      </x:c>
      <x:c r="F20" s="2" t="str">
        <x:v>PLTA</x:v>
      </x:c>
      <x:c r="G20" s="2" t="str">
        <x:v> PLTLN </x:v>
      </x:c>
      <x:c r="H20" s="2" t="str">
        <x:v>pltwi</x:v>
      </x:c>
      <x:c r="I20" s="2" t="str">
        <x:v>PLTHA</x:v>
      </x:c>
      <x:c r="J20" s="2" t="str">
        <x:v>FL_LAT</x:v>
      </x:c>
      <x:c r="K20" s="2" t="str">
        <x:v>fl_long</x:v>
      </x:c>
      <x:c r="L20" s="2" t="str">
        <x:v> FLSL </x:v>
      </x:c>
      <x:c r="M20" s="2" t="str">
        <x:v>TRTID</x:v>
      </x:c>
      <x:c r="N20" s="2" t="str">
        <x:v>genid</x:v>
      </x:c>
      <x:c r="O20" s="2" t="str">
        <x:v>WTHSTAID</x:v>
      </x:c>
      <x:c r="P20" s="2" t="str">
        <x:v>INITC_TR</x:v>
      </x:c>
      <x:c r="Q20" s="2" t="str">
        <x:v> plttr_tr </x:v>
      </x:c>
      <x:c r="R20" s="2" t="str">
        <x:v>IRRTR_TR</x:v>
      </x:c>
      <x:c r="S20" s="2" t="str">
        <x:v>FERTT_TR</x:v>
      </x:c>
      <x:c r="T20" s="2" t="str">
        <x:v>autoi_tr</x:v>
      </x:c>
      <x:c r="U20" s="2" t="str">
        <x:v>ORGMA_TR</x:v>
      </x:c>
      <x:c r="V20" s="2" t="str">
        <x:v> CHEMA_TR </x:v>
      </x:c>
      <x:c r="W20" s="2" t="str">
        <x:v>tiltr_tr</x:v>
      </x:c>
      <x:c r="X20" s="2" t="str">
        <x:v>ENVMO_TR</x:v>
      </x:c>
      <x:c r="Y20" s="2" t="str">
        <x:v>HARVT_TR</x:v>
      </x:c>
      <x:c r="Z20" s="2" t="str">
        <x:v>multr_tr</x:v>
      </x:c>
      <x:c r="AA20" s="2" t="str">
        <x:v> CRID </x:v>
      </x:c>
      <x:c r="AB20" s="2" t="str">
        <x:v>GENO_NAME</x:v>
      </x:c>
      <x:c r="AC20" s="2" t="str">
        <x:v>ID_FIELD</x:v>
      </x:c>
    </x:row>
    <x:row r="21">
      <x:c r="A21" s="1" t="n">
        <x:v>11</x:v>
      </x:c>
      <x:c r="B21" s="1" t="str">
        <x:v>S0109</x:v>
      </x:c>
      <x:c r="C21" s="1"/>
      <x:c r="D21" s="1" t="str">
        <x:v>SYNL000004</x:v>
      </x:c>
      <x:c r="E21" s="1" t="str">
        <x:v>S0154</x:v>
      </x:c>
      <x:c r="F21" s="1" t="n">
        <x:v>180</x:v>
      </x:c>
      <x:c r="G21" s="1" t="n">
        <x:v>18</x:v>
      </x:c>
      <x:c r="H21" s="1" t="n">
        <x:v>10</x:v>
      </x:c>
      <x:c r="I21" s="1" t="n">
        <x:v>128</x:v>
      </x:c>
      <x:c r="J21" s="1" t="n">
        <x:v>51.84</x:v>
      </x:c>
      <x:c r="K21" s="1" t="n">
        <x:v>5.56</x:v>
      </x:c>
      <x:c r="L21" s="1" t="n">
        <x:v>0.5</x:v>
      </x:c>
      <x:c r="M21" s="1" t="str">
        <x:v>S0139</x:v>
      </x:c>
      <x:c r="N21" s="1" t="str">
        <x:v>S0047</x:v>
      </x:c>
      <x:c r="O21" s="1" t="str">
        <x:v>syn1</x:v>
      </x:c>
      <x:c r="P21" s="1" t="str">
        <x:v>S0073</x:v>
      </x:c>
      <x:c r="Q21" s="1" t="str">
        <x:v>S0101</x:v>
      </x:c>
      <x:c r="R21" s="1"/>
      <x:c r="S21" s="1" t="str">
        <x:v>N/A</x:v>
      </x:c>
      <x:c r="T21" s="1"/>
      <x:c r="U21" s="1"/>
      <x:c r="V21" s="1"/>
      <x:c r="W21" s="1"/>
      <x:c r="X21" s="1"/>
      <x:c r="Y21" s="1" t="str">
        <x:v>S0059</x:v>
      </x:c>
      <x:c r="Z21" s="1" t="str">
        <x:v>N/A</x:v>
      </x:c>
      <x:c r="AA21" s="1" t="str">
        <x:v>S0053</x:v>
      </x:c>
      <x:c r="AB21" s="1" t="str">
        <x:v>Synthetic_Sorghum_01</x:v>
      </x:c>
      <x:c r="AC21" s="1" t="str">
        <x:v>S0154</x:v>
      </x:c>
    </x:row>
    <x:row r="22">
      <x:c r="A22" s="1" t="n">
        <x:v>17</x:v>
      </x:c>
      <x:c r="B22" s="1" t="str">
        <x:v>S0109</x:v>
      </x:c>
      <x:c r="C22" s="1"/>
      <x:c r="D22" s="1" t="str">
        <x:v>SYNL000004</x:v>
      </x:c>
      <x:c r="E22" s="1" t="str">
        <x:v>S0154</x:v>
      </x:c>
      <x:c r="F22" s="1" t="n">
        <x:v>180</x:v>
      </x:c>
      <x:c r="G22" s="1" t="n">
        <x:v>18</x:v>
      </x:c>
      <x:c r="H22" s="1" t="n">
        <x:v>10</x:v>
      </x:c>
      <x:c r="I22" s="1" t="n">
        <x:v>128</x:v>
      </x:c>
      <x:c r="J22" s="1" t="n">
        <x:v>51.84</x:v>
      </x:c>
      <x:c r="K22" s="1" t="n">
        <x:v>5.56</x:v>
      </x:c>
      <x:c r="L22" s="1" t="n">
        <x:v>0.5</x:v>
      </x:c>
      <x:c r="M22" s="1" t="str">
        <x:v>S0145</x:v>
      </x:c>
      <x:c r="N22" s="1" t="str">
        <x:v>S0048</x:v>
      </x:c>
      <x:c r="O22" s="1" t="str">
        <x:v>SYN1</x:v>
      </x:c>
      <x:c r="P22" s="1" t="str">
        <x:v>S0074</x:v>
      </x:c>
      <x:c r="Q22" s="1" t="str">
        <x:v>S0102</x:v>
      </x:c>
      <x:c r="R22" s="1"/>
      <x:c r="S22" s="1"/>
      <x:c r="T22" s="1"/>
      <x:c r="U22" s="1"/>
      <x:c r="V22" s="1" t="str">
        <x:v>UNKNOWN</x:v>
      </x:c>
      <x:c r="W22" s="1"/>
      <x:c r="X22" s="1"/>
      <x:c r="Y22" s="1" t="str">
        <x:v>S0060</x:v>
      </x:c>
      <x:c r="Z22" s="1"/>
      <x:c r="AA22" s="1" t="str">
        <x:v>S0054</x:v>
      </x:c>
      <x:c r="AB22" s="1" t="str">
        <x:v>Synthetic_Rice_01</x:v>
      </x:c>
      <x:c r="AC22" s="1" t="str">
        <x:v>S0154</x:v>
      </x:c>
    </x:row>
    <x:row r="23">
      <x:c r="A23" s="1" t="str">
        <x:v>! estimated</x:v>
      </x:c>
      <x:c r="B23" s="1" t="str">
        <x:v>Synthetic structural annotation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</x:row>
    <x:row r="25">
      <x:c r="A25" s="1" t="str">
        <x:v>! Section</x:v>
      </x:c>
      <x:c r="B25" s="1" t="str">
        <x:v>Crop_observations_summary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</x:row>
    <x:row r="26">
      <x:c r="A26" s="1" t="str">
        <x:v>! Definitions</x:v>
      </x:c>
      <x:c r="B26" s="1" t="str">
        <x:v>N fixed during season</x:v>
      </x:c>
      <x:c r="C26" s="1"/>
      <x:c r="D26" s="1" t="str">
        <x:v>Phosphorus in above ground plant parts at maturity</x:v>
      </x:c>
      <x:c r="E26" s="1" t="str">
        <x:v>Grain N concentration at maturity</x:v>
      </x:c>
      <x:c r="F26" s="1" t="str">
        <x:v>Harvest index at maturity</x:v>
      </x:c>
      <x:c r="G26" s="1" t="str">
        <x:v>Tiller number per area at maturity</x:v>
      </x:c>
      <x:c r="H26" s="1" t="str">
        <x:v>Panicle number per area at maturity</x:v>
      </x:c>
      <x:c r="I26" s="1" t="str">
        <x:v>Pod, ear, panicle number per area at maturity</x:v>
      </x:c>
      <x:c r="J26" s="1" t="str">
        <x:v>Plant height (e.g., including spikes above canopy per se), maximum value in season</x:v>
      </x:c>
      <x:c r="K26" s="1" t="str">
        <x:v>Grain dry wt at maturity</x:v>
      </x:c>
      <x:c r="L26" s="1" t="str">
        <x:v>Tops dry weight at anthesis</x:v>
      </x:c>
      <x:c r="M26" s="1" t="str">
        <x:v>Grain starch concentration at maturity</x:v>
      </x:c>
      <x:c r="N26" s="1" t="str">
        <x:v>Grain protein concentration at maturity</x:v>
      </x:c>
      <x:c r="O26" s="1" t="str">
        <x:v>Grain oil concentration at maturity</x:v>
      </x:c>
      <x:c r="P26" s="1" t="str">
        <x:v>Leaf area index, maximum</x:v>
      </x:c>
      <x:c r="Q26" s="1" t="str">
        <x:v>Tops dry weight at harvest</x:v>
      </x:c>
      <x:c r="R26" s="1" t="str">
        <x:v>Growth stage, silking date; use YYYY-MM-DD.</x:v>
      </x:c>
      <x:c r="S26" s="1" t="str">
        <x:v>Growth stage date, harvest; use YYYY-MM-DD.</x:v>
      </x:c>
      <x:c r="T26" s="1" t="str">
        <x:v>Growth stage of physiol. maturity, as date; use YYYY-MM-DD.</x:v>
      </x:c>
      <x:c r="U26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V26" s="1" t="str">
        <x:v>Growth stage date, anthesis; use YYYY-MM-DD.</x:v>
      </x:c>
      <x:c r="W26" s="1" t="str">
        <x:v>date helper</x:v>
      </x:c>
      <x:c r="X26" s="1" t="str">
        <x:v>date helper</x:v>
      </x:c>
      <x:c r="Y26" s="1"/>
      <x:c r="Z26" s="1"/>
      <x:c r="AA26" s="1"/>
      <x:c r="AB26" s="1"/>
      <x:c r="AC26" s="1"/>
    </x:row>
    <x:row r="27">
      <x:c r="A27" s="1" t="str">
        <x:v>! Units</x:v>
      </x:c>
      <x:c r="B27" s="1" t="str">
        <x:v>kg/ha</x:v>
      </x:c>
      <x:c r="C27" s="1"/>
      <x:c r="D27" s="1" t="str">
        <x:v>kg/ha</x:v>
      </x:c>
      <x:c r="E27" s="1" t="str">
        <x:v>%</x:v>
      </x:c>
      <x:c r="F27" s="1" t="str">
        <x:v>unitless</x:v>
      </x:c>
      <x:c r="G27" s="1" t="str">
        <x:v>number/m2</x:v>
      </x:c>
      <x:c r="H27" s="1" t="str">
        <x:v>number/m2</x:v>
      </x:c>
      <x:c r="I27" s="1" t="str">
        <x:v>number/m2</x:v>
      </x:c>
      <x:c r="J27" s="1" t="str">
        <x:v>m</x:v>
      </x:c>
      <x:c r="K27" s="1" t="str">
        <x:v>kg/ha</x:v>
      </x:c>
      <x:c r="L27" s="1" t="str">
        <x:v>kg/ha</x:v>
      </x:c>
      <x:c r="M27" s="1" t="str">
        <x:v>%</x:v>
      </x:c>
      <x:c r="N27" s="1" t="str">
        <x:v>%</x:v>
      </x:c>
      <x:c r="O27" s="1" t="str">
        <x:v>%</x:v>
      </x:c>
      <x:c r="P27" s="1" t="str">
        <x:v>m2/m2</x:v>
      </x:c>
      <x:c r="Q27" s="1" t="str">
        <x:v>kg/ha</x:v>
      </x:c>
      <x:c r="R27" s="1" t="str">
        <x:v>date</x:v>
      </x:c>
      <x:c r="S27" s="1" t="str">
        <x:v>date</x:v>
      </x:c>
      <x:c r="T27" s="1" t="str">
        <x:v>date</x:v>
      </x:c>
      <x:c r="U27" s="1" t="str">
        <x:v>text</x:v>
      </x:c>
      <x:c r="V27" s="1" t="str">
        <x:v>date</x:v>
      </x:c>
      <x:c r="W27" s="1" t="str">
        <x:v>date helper</x:v>
      </x:c>
      <x:c r="X27" s="1" t="str">
        <x:v>date helper</x:v>
      </x:c>
      <x:c r="Y27" s="1"/>
      <x:c r="Z27" s="1"/>
      <x:c r="AA27" s="1"/>
      <x:c r="AB27" s="1"/>
      <x:c r="AC27" s="1"/>
    </x:row>
    <x:row r="28">
      <x:c r="A28" s="2" t="str">
        <x:v>%</x:v>
      </x:c>
      <x:c r="B28" s="2" t="str">
        <x:v> NFXM </x:v>
      </x:c>
      <x:c r="C28" s="2"/>
      <x:c r="D28" s="2" t="str">
        <x:v>CPAM</x:v>
      </x:c>
      <x:c r="E28" s="2" t="str">
        <x:v>gn%m</x:v>
      </x:c>
      <x:c r="F28" s="2" t="str">
        <x:v>HIAM</x:v>
      </x:c>
      <x:c r="G28" s="2" t="str">
        <x:v>T#AM</x:v>
      </x:c>
      <x:c r="H28" s="2" t="str">
        <x:v> pn#am </x:v>
      </x:c>
      <x:c r="I28" s="2" t="str">
        <x:v>PD#AM</x:v>
      </x:c>
      <x:c r="J28" s="2" t="str">
        <x:v>PHTX</x:v>
      </x:c>
      <x:c r="K28" s="2" t="str">
        <x:v>gwam</x:v>
      </x:c>
      <x:c r="L28" s="2" t="str">
        <x:v>CWAA</x:v>
      </x:c>
      <x:c r="M28" s="2" t="str">
        <x:v> GS%M </x:v>
      </x:c>
      <x:c r="N28" s="2" t="str">
        <x:v>gpr%m</x:v>
      </x:c>
      <x:c r="O28" s="2" t="str">
        <x:v>GL%M</x:v>
      </x:c>
      <x:c r="P28" s="2" t="str">
        <x:v>LAIX</x:v>
      </x:c>
      <x:c r="Q28" s="2" t="str">
        <x:v>cwah</x:v>
      </x:c>
      <x:c r="R28" s="2" t="str">
        <x:v> SKDAT </x:v>
      </x:c>
      <x:c r="S28" s="2" t="str">
        <x:v>HDATE</x:v>
      </x:c>
      <x:c r="T28" s="2" t="str">
        <x:v>mdat</x:v>
      </x:c>
      <x:c r="U28" s="2" t="str">
        <x:v>GRPPL_CO</x:v>
      </x:c>
      <x:c r="V28" s="2" t="str">
        <x:v>ADAT</x:v>
      </x:c>
      <x:c r="W28" s="2" t="str">
        <x:v>!YEAR</x:v>
      </x:c>
      <x:c r="X28" s="2" t="str">
        <x:v>!DOY</x:v>
      </x:c>
      <x:c r="Y28" s="2"/>
      <x:c r="Z28" s="2"/>
      <x:c r="AA28" s="2"/>
      <x:c r="AB28" s="2"/>
      <x:c r="AC28" s="2"/>
    </x:row>
    <x:row r="29">
      <x:c r="A29" s="1" t="n">
        <x:v>11</x:v>
      </x:c>
      <x:c r="B29" s="1"/>
      <x:c r="C29" s="1"/>
      <x:c r="D29" s="1" t="n">
        <x:v>20.8</x:v>
      </x:c>
      <x:c r="E29" s="1" t="str">
        <x:v>-99</x:v>
      </x:c>
      <x:c r="F29" s="1" t="n">
        <x:v>0.4</x:v>
      </x:c>
      <x:c r="G29" s="1"/>
      <x:c r="H29" s="1" t="n">
        <x:v>14</x:v>
      </x:c>
      <x:c r="I29" s="1"/>
      <x:c r="J29" s="1"/>
      <x:c r="K29" s="1" t="n">
        <x:v>10400</x:v>
      </x:c>
      <x:c r="L29" s="1" t="n">
        <x:v>5087</x:v>
      </x:c>
      <x:c r="M29" s="1"/>
      <x:c r="N29" s="1" t="str">
        <x:v>-99.0</x:v>
      </x:c>
      <x:c r="O29" s="1"/>
      <x:c r="P29" s="1" t="n">
        <x:v>3.68</x:v>
      </x:c>
      <x:c r="Q29" s="1" t="n">
        <x:v>4160</x:v>
      </x:c>
      <x:c r="R29" s="1"/>
      <x:c r="S29" s="1" t="str">
        <x:v>26245</x:v>
      </x:c>
      <x:c r="T29" s="1" t="str">
        <x:v>2026-8-23</x:v>
      </x:c>
      <x:c r="U29" s="1" t="str">
        <x:v>11</x:v>
      </x:c>
      <x:c r="V29" s="1" t="str">
        <x:v> 2026-07-20</x:v>
      </x:c>
      <x:c r="W29" s="1" t="n">
        <x:f>YEAR(DATE(2026,7,20))</x:f>
        <x:v>2026</x:v>
      </x:c>
      <x:c r="X29" s="1" t="n">
        <x:f>DATE(2026,7,20)-DATE(2026,1,1)+1</x:f>
        <x:v>201</x:v>
      </x:c>
      <x:c r="Y29" s="1"/>
      <x:c r="Z29" s="1"/>
      <x:c r="AA29" s="1"/>
      <x:c r="AB29" s="1"/>
      <x:c r="AC29" s="1"/>
    </x:row>
    <x:row r="30">
      <x:c r="A30" s="1" t="n">
        <x:v>17</x:v>
      </x:c>
      <x:c r="B30" s="1"/>
      <x:c r="C30" s="1"/>
      <x:c r="D30" s="1"/>
      <x:c r="E30" s="1" t="n">
        <x:v>1.9</x:v>
      </x:c>
      <x:c r="F30" s="1"/>
      <x:c r="G30" s="1"/>
      <x:c r="H30" s="1" t="n">
        <x:v>224</x:v>
      </x:c>
      <x:c r="I30" s="1" t="str">
        <x:v>-99</x:v>
      </x:c>
      <x:c r="J30" s="1" t="n">
        <x:v>1.138</x:v>
      </x:c>
      <x:c r="K30" s="1"/>
      <x:c r="L30" s="1"/>
      <x:c r="M30" s="1"/>
      <x:c r="N30" s="1"/>
      <x:c r="O30" s="1" t="str">
        <x:v>-99</x:v>
      </x:c>
      <x:c r="P30" s="1" t="n">
        <x:v>4.16</x:v>
      </x:c>
      <x:c r="Q30" s="1" t="n">
        <x:v>9600</x:v>
      </x:c>
      <x:c r="R30" s="1"/>
      <x:c r="S30" s="3" t="d">
        <x:v>2027-09-17T00:00:00.000Z</x:v>
      </x:c>
      <x:c r="T30" s="1"/>
      <x:c r="U30" s="1" t="str">
        <x:v>17</x:v>
      </x:c>
      <x:c r="V30" s="1" t="str">
        <x:v>-99</x:v>
      </x:c>
      <x:c r="W30" s="1"/>
      <x:c r="X30" s="1"/>
      <x:c r="Y30" s="1"/>
      <x:c r="Z30" s="1"/>
      <x:c r="AA30" s="1"/>
      <x:c r="AB30" s="1"/>
      <x:c r="AC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</x:row>
    <x:row r="32">
      <x:c r="A32" s="1" t="str">
        <x:v>! Section</x:v>
      </x:c>
      <x:c r="B32" s="1" t="str">
        <x:v>Crop_observations_timeseries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</x:row>
    <x:row r="33">
      <x:c r="A33" s="1" t="str">
        <x:v>! Definitions</x:v>
      </x:c>
      <x:c r="B33" s="1" t="str">
        <x:v>Date of measurement; use YYYY-MM-DD.</x:v>
      </x:c>
      <x:c r="C33" s="1"/>
      <x:c r="D33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33" s="1" t="str">
        <x:v>Canopy height</x:v>
      </x:c>
      <x:c r="F33" s="1" t="str">
        <x:v>Plant_height (e.g., including spikes above canopy per se)</x:v>
      </x:c>
      <x:c r="G33" s="1" t="str">
        <x:v>Dry weight of above-ground parts</x:v>
      </x:c>
      <x:c r="H33" s="1" t="str">
        <x:v>Grain dry weight</x:v>
      </x:c>
      <x:c r="I33" s="1" t="str">
        <x:v>Leaf dry weight</x:v>
      </x:c>
      <x:c r="J33" s="1" t="str">
        <x:v>Root dry weight</x:v>
      </x:c>
      <x:c r="K33" s="1" t="str">
        <x:v>Stem dry weight</x:v>
      </x:c>
      <x:c r="L33" s="1" t="str">
        <x:v>Root depth, maximum extent at date</x:v>
      </x:c>
      <x:c r="M33" s="1" t="str">
        <x:v>Leaf area index on a given day</x:v>
      </x:c>
      <x:c r="N33" s="1" t="str">
        <x:v>Leaf number per main stem</x:v>
      </x:c>
      <x:c r="O33" s="1" t="str">
        <x:v>Plant density on sampling date</x:v>
      </x:c>
      <x:c r="P33" s="1" t="str">
        <x:v>Leaf N concentration</x:v>
      </x:c>
      <x:c r="Q33" s="1" t="str">
        <x:v>Nitrogen in above ground plant parts</x:v>
      </x:c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</x:row>
    <x:row r="34">
      <x:c r="A34" s="1" t="str">
        <x:v>! Units</x:v>
      </x:c>
      <x:c r="B34" s="1" t="str">
        <x:v>date</x:v>
      </x:c>
      <x:c r="C34" s="1"/>
      <x:c r="D34" s="1" t="str">
        <x:v>text</x:v>
      </x:c>
      <x:c r="E34" s="1" t="str">
        <x:v>m</x:v>
      </x:c>
      <x:c r="F34" s="1" t="str">
        <x:v>m</x:v>
      </x:c>
      <x:c r="G34" s="1" t="str">
        <x:v>kg/ha</x:v>
      </x:c>
      <x:c r="H34" s="1" t="str">
        <x:v>kg/ha</x:v>
      </x:c>
      <x:c r="I34" s="1" t="str">
        <x:v>kg/ha</x:v>
      </x:c>
      <x:c r="J34" s="1" t="str">
        <x:v>kg/ha</x:v>
      </x:c>
      <x:c r="K34" s="1" t="str">
        <x:v>kg/ha</x:v>
      </x:c>
      <x:c r="L34" s="1" t="str">
        <x:v>m</x:v>
      </x:c>
      <x:c r="M34" s="1" t="str">
        <x:v>m2/m2</x:v>
      </x:c>
      <x:c r="N34" s="1" t="str">
        <x:v>number</x:v>
      </x:c>
      <x:c r="O34" s="1" t="str">
        <x:v>number/m2</x:v>
      </x:c>
      <x:c r="P34" s="1" t="str">
        <x:v>%</x:v>
      </x:c>
      <x:c r="Q34" s="1" t="str">
        <x:v>kg[N]/ha</x:v>
      </x:c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</x:row>
    <x:row r="35">
      <x:c r="A35" s="2" t="str">
        <x:v>%</x:v>
      </x:c>
      <x:c r="B35" s="2" t="str">
        <x:v>DATE</x:v>
      </x:c>
      <x:c r="C35" s="2"/>
      <x:c r="D35" s="2" t="str">
        <x:v>GRPPL_CO</x:v>
      </x:c>
      <x:c r="E35" s="2" t="str">
        <x:v>chtd</x:v>
      </x:c>
      <x:c r="F35" s="2" t="str">
        <x:v>PHTD</x:v>
      </x:c>
      <x:c r="G35" s="2" t="str">
        <x:v> CWAD </x:v>
      </x:c>
      <x:c r="H35" s="2" t="str">
        <x:v>gwad</x:v>
      </x:c>
      <x:c r="I35" s="2" t="str">
        <x:v>LWAD</x:v>
      </x:c>
      <x:c r="J35" s="2" t="str">
        <x:v>RWAD</x:v>
      </x:c>
      <x:c r="K35" s="2" t="str">
        <x:v>swad</x:v>
      </x:c>
      <x:c r="L35" s="2" t="str">
        <x:v> RDWJ </x:v>
      </x:c>
      <x:c r="M35" s="2" t="str">
        <x:v>LAID</x:v>
      </x:c>
      <x:c r="N35" s="2" t="str">
        <x:v>l#sd</x:v>
      </x:c>
      <x:c r="O35" s="2" t="str">
        <x:v>PLPAD</x:v>
      </x:c>
      <x:c r="P35" s="2" t="str">
        <x:v>LN%D</x:v>
      </x:c>
      <x:c r="Q35" s="2" t="str">
        <x:v> cnad </x:v>
      </x:c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</x:row>
    <x:row r="36">
      <x:c r="A36" s="1" t="n">
        <x:v>11</x:v>
      </x:c>
      <x:c r="B36" s="1" t="str">
        <x:v> 2026-05-31</x:v>
      </x:c>
      <x:c r="C36" s="1"/>
      <x:c r="D36" s="1" t="str">
        <x:v>11</x:v>
      </x:c>
      <x:c r="E36" s="1"/>
      <x:c r="F36" s="1" t="n">
        <x:v>0.356</x:v>
      </x:c>
      <x:c r="G36" s="1" t="str">
        <x:v>-99.0</x:v>
      </x:c>
      <x:c r="H36" s="1"/>
      <x:c r="I36" s="1" t="n">
        <x:v>105</x:v>
      </x:c>
      <x:c r="J36" s="1"/>
      <x:c r="K36" s="1"/>
      <x:c r="L36" s="1" t="n">
        <x:v>210</x:v>
      </x:c>
      <x:c r="M36" s="1" t="n">
        <x:v>0.258</x:v>
      </x:c>
      <x:c r="N36" s="1" t="n">
        <x:v>0.92</x:v>
      </x:c>
      <x:c r="O36" s="1"/>
      <x:c r="P36" s="1" t="n">
        <x:v>17.36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</x:row>
    <x:row r="37">
      <x:c r="A37" s="1" t="n">
        <x:v>11</x:v>
      </x:c>
      <x:c r="B37" s="1" t="str">
        <x:v>2026-7-15</x:v>
      </x:c>
      <x:c r="C37" s="1"/>
      <x:c r="D37" s="1" t="str">
        <x:v>11</x:v>
      </x:c>
      <x:c r="E37" s="1"/>
      <x:c r="F37" s="1"/>
      <x:c r="G37" s="1" t="n">
        <x:v>4503</x:v>
      </x:c>
      <x:c r="H37" s="1"/>
      <x:c r="I37" s="1" t="n">
        <x:v>683</x:v>
      </x:c>
      <x:c r="J37" s="1"/>
      <x:c r="K37" s="1" t="n">
        <x:v>1367</x:v>
      </x:c>
      <x:c r="L37" s="1"/>
      <x:c r="M37" s="1" t="n">
        <x:v>3.37</x:v>
      </x:c>
      <x:c r="N37" s="1"/>
      <x:c r="O37" s="1" t="n">
        <x:v>17.06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</x:row>
    <x:row r="38">
      <x:c r="A38" s="1" t="n">
        <x:v>11</x:v>
      </x:c>
      <x:c r="B38" s="1" t="str">
        <x:v>26239</x:v>
      </x:c>
      <x:c r="C38" s="1"/>
      <x:c r="D38" s="1" t="str">
        <x:v>11</x:v>
      </x:c>
      <x:c r="E38" s="1" t="str">
        <x:v>-99</x:v>
      </x:c>
      <x:c r="F38" s="1" t="n">
        <x:v>1.782</x:v>
      </x:c>
      <x:c r="G38" s="1" t="n">
        <x:v>4160</x:v>
      </x:c>
      <x:c r="H38" s="1" t="n">
        <x:v>9679</x:v>
      </x:c>
      <x:c r="I38" s="1" t="n">
        <x:v>1442</x:v>
      </x:c>
      <x:c r="J38" s="1"/>
      <x:c r="K38" s="1" t="n">
        <x:v>2884</x:v>
      </x:c>
      <x:c r="L38" s="1"/>
      <x:c r="M38" s="1" t="n">
        <x:v>1.36</x:v>
      </x:c>
      <x:c r="N38" s="1"/>
      <x:c r="O38" s="1" t="n">
        <x:v>16.78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</x:row>
    <x:row r="39">
      <x:c r="A39" s="1"/>
      <x:c r="B39" s="1" t="n">
        <x:v>17</x:v>
      </x:c>
      <x:c r="C39" s="3" t="d">
        <x:v>2027-06-07T00:00:00.000Z</x:v>
      </x:c>
      <x:c r="D39" s="1"/>
      <x:c r="E39" s="1" t="str">
        <x:v>17</x:v>
      </x:c>
      <x:c r="F39" s="1"/>
      <x:c r="G39" s="1"/>
      <x:c r="H39" s="1" t="n">
        <x:v>674</x:v>
      </x:c>
      <x:c r="I39" s="1"/>
      <x:c r="J39" s="1"/>
      <x:c r="K39" s="1" t="n">
        <x:v>121</x:v>
      </x:c>
      <x:c r="L39" s="1"/>
      <x:c r="M39" s="1" t="n">
        <x:v>0.32</x:v>
      </x:c>
      <x:c r="N39" s="1" t="n">
        <x:v>1.04</x:v>
      </x:c>
      <x:c r="O39" s="1" t="n">
        <x:v>2.8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</x:row>
    <x:row r="40">
      <x:c r="A40" s="1"/>
      <x:c r="B40" s="1" t="n">
        <x:v>17</x:v>
      </x:c>
      <x:c r="C40" s="1" t="str">
        <x:v> 2027-07-01</x:v>
      </x:c>
      <x:c r="D40" s="1"/>
      <x:c r="E40" s="1" t="str">
        <x:v>17</x:v>
      </x:c>
      <x:c r="F40" s="1"/>
      <x:c r="G40" s="1" t="n">
        <x:v>0.531</x:v>
      </x:c>
      <x:c r="H40" s="1" t="n">
        <x:v>2208</x:v>
      </x:c>
      <x:c r="I40" s="1"/>
      <x:c r="J40" s="1"/>
      <x:c r="K40" s="1" t="n">
        <x:v>397</x:v>
      </x:c>
      <x:c r="L40" s="1"/>
      <x:c r="M40" s="1" t="n">
        <x:v>0.48</x:v>
      </x:c>
      <x:c r="N40" s="1" t="n">
        <x:v>2.43</x:v>
      </x:c>
      <x:c r="O40" s="1" t="n">
        <x:v>6.5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</x:row>
    <x:row r="41">
      <x:c r="A41" s="1" t="n">
        <x:v>17</x:v>
      </x:c>
      <x:c r="B41" s="1" t="str">
        <x:v>2027-8-18</x:v>
      </x:c>
      <x:c r="C41" s="1"/>
      <x:c r="D41" s="1" t="str">
        <x:v>17</x:v>
      </x:c>
      <x:c r="E41" s="1"/>
      <x:c r="F41" s="1"/>
      <x:c r="G41" s="1"/>
      <x:c r="H41" s="1" t="str">
        <x:v>-99</x:v>
      </x:c>
      <x:c r="I41" s="1" t="str">
        <x:v>-99</x:v>
      </x:c>
      <x:c r="J41" s="1" t="n">
        <x:v>1155</x:v>
      </x:c>
      <x:c r="K41" s="1"/>
      <x:c r="L41" s="1" t="n">
        <x:v>0.8</x:v>
      </x:c>
      <x:c r="M41" s="1" t="n">
        <x:v>3.04</x:v>
      </x:c>
      <x:c r="N41" s="1" t="n">
        <x:v>12</x:v>
      </x:c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</x:row>
    <x:row r="42">
      <x:c r="A42" s="1" t="n">
        <x:v>17</x:v>
      </x:c>
      <x:c r="B42" s="1" t="str">
        <x:v>27254</x:v>
      </x:c>
      <x:c r="C42" s="1"/>
      <x:c r="D42" s="1" t="str">
        <x:v>17</x:v>
      </x:c>
      <x:c r="E42" s="1"/>
      <x:c r="F42" s="1" t="n">
        <x:v>1.138</x:v>
      </x:c>
      <x:c r="G42" s="1" t="n">
        <x:v>8935</x:v>
      </x:c>
      <x:c r="H42" s="1"/>
      <x:c r="I42" s="1"/>
      <x:c r="J42" s="1" t="n">
        <x:v>1608</x:v>
      </x:c>
      <x:c r="K42" s="1" t="str">
        <x:v>-99.0</x:v>
      </x:c>
      <x:c r="L42" s="1" t="n">
        <x:v>0.96</x:v>
      </x:c>
      <x:c r="M42" s="1" t="n">
        <x:v>1.54</x:v>
      </x:c>
      <x:c r="N42" s="1" t="n">
        <x:v>12</x:v>
      </x:c>
      <x:c r="O42" s="1"/>
      <x:c r="P42" s="1" t="str">
        <x:v>-99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</x:row>
    <x:row r="44">
      <x:c r="A44" s="1" t="str">
        <x:v>! Section</x:v>
      </x:c>
      <x:c r="B44" s="1" t="str">
        <x:v>Harvest_event_treatments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</x:row>
    <x:row r="45">
      <x:c r="A45" s="1" t="str">
        <x:v>! Definitions</x:v>
      </x:c>
      <x:c r="B45" s="1" t="str">
        <x:v>Unique identifier for a harvest treatment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</x:row>
    <x:row r="46">
      <x:c r="A46" s="1" t="str">
        <x:v>! Units</x:v>
      </x:c>
      <x:c r="B46" s="1" t="str">
        <x:v>text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</x:row>
    <x:row r="47">
      <x:c r="A47" s="2" t="str">
        <x:v>#</x:v>
      </x:c>
      <x:c r="B47" s="2" t="str">
        <x:v>HARVTRTI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</x:row>
    <x:row r="48">
      <x:c r="A48" s="1" t="n">
        <x:v>11</x:v>
      </x:c>
      <x:c r="B48" s="1" t="str">
        <x:v>S0059</x:v>
      </x:c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</x:row>
    <x:row r="49">
      <x:c r="A49" s="1" t="n">
        <x:v>17</x:v>
      </x:c>
      <x:c r="B49" s="1" t="str">
        <x:v>S0060</x:v>
      </x:c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</x:row>
    <x:row r="51">
      <x:c r="A51" s="1" t="str">
        <x:v>! Section</x:v>
      </x:c>
      <x:c r="B51" s="1" t="str">
        <x:v>Harvest_events</x:v>
      </x:c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</x:row>
    <x:row r="52">
      <x:c r="A52" s="1" t="str">
        <x:v>! Definitions</x:v>
      </x:c>
      <x:c r="B52" s="1" t="str">
        <x:v>Harvest operations date; use YYYY-MM-DD.</x:v>
      </x:c>
      <x:c r="C52" s="1"/>
      <x:c r="D52" s="1" t="str">
        <x:v>Identifier of the harvest treatment associated with the event</x:v>
      </x:c>
      <x:c r="E52" s="1" t="str">
        <x:v>Harvest operations, crop component harvested</x:v>
      </x:c>
      <x:c r="F52" s="1" t="str">
        <x:v>Harvest method</x:v>
      </x:c>
      <x:c r="G52" s="1" t="str">
        <x:v>Harvest, height of cut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</x:row>
    <x:row r="53">
      <x:c r="A53" s="1" t="str">
        <x:v>! Units</x:v>
      </x:c>
      <x:c r="B53" s="1" t="str">
        <x:v>date</x:v>
      </x:c>
      <x:c r="C53" s="1"/>
      <x:c r="D53" s="1" t="str">
        <x:v>text</x:v>
      </x:c>
      <x:c r="E53" s="1" t="str">
        <x:v>code</x:v>
      </x:c>
      <x:c r="F53" s="1" t="str">
        <x:v>code</x:v>
      </x:c>
      <x:c r="G53" s="1" t="str">
        <x:v>cm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</x:row>
    <x:row r="54">
      <x:c r="A54" s="2" t="str">
        <x:v>%</x:v>
      </x:c>
      <x:c r="B54" s="2" t="str">
        <x:v>HADAT</x:v>
      </x:c>
      <x:c r="C54" s="2"/>
      <x:c r="D54" s="2" t="str">
        <x:v>HARVT_HE</x:v>
      </x:c>
      <x:c r="E54" s="2" t="str">
        <x:v>hacom</x:v>
      </x:c>
      <x:c r="F54" s="2" t="str">
        <x:v>HARM</x:v>
      </x:c>
      <x:c r="G54" s="2" t="str">
        <x:v> HAHT </x:v>
      </x:c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</x:row>
    <x:row r="55">
      <x:c r="A55" s="1" t="n">
        <x:v>11</x:v>
      </x:c>
      <x:c r="B55" s="3" t="d">
        <x:v>2026-09-02T00:00:00.000Z</x:v>
      </x:c>
      <x:c r="C55" s="1"/>
      <x:c r="D55" s="1" t="str">
        <x:v>S0059</x:v>
      </x:c>
      <x:c r="E55" s="1" t="str">
        <x:v>canopy</x:v>
      </x:c>
      <x:c r="F55" s="1"/>
      <x:c r="G55" s="1" t="n">
        <x:v>15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</x:row>
    <x:row r="56">
      <x:c r="A56" s="1" t="n">
        <x:v>17</x:v>
      </x:c>
      <x:c r="B56" s="1" t="str">
        <x:v> 2027-09-17</x:v>
      </x:c>
      <x:c r="C56" s="1"/>
      <x:c r="D56" s="1" t="str">
        <x:v>S0060</x:v>
      </x:c>
      <x:c r="E56" s="1" t="str">
        <x:v>grain</x:v>
      </x:c>
      <x:c r="F56" s="1" t="str">
        <x:v>Hand cut, hand threshed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</x:row>
    <x:row r="58">
      <x:c r="A58" s="1" t="str">
        <x:v>! Section</x:v>
      </x:c>
      <x:c r="B58" s="1" t="str">
        <x:v>Initial_conditions</x:v>
      </x:c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</x:row>
    <x:row r="59">
      <x:c r="A59" s="1" t="str">
        <x:v>! Definitions</x:v>
      </x:c>
      <x:c r="B59" s="1" t="str">
        <x:v>Initial profile inorganic nitrogen amount</x:v>
      </x:c>
      <x:c r="C59" s="1"/>
      <x:c r="D59" s="1" t="str">
        <x:v>Initial water content of entire profile, expressed as percent of available water</x:v>
      </x:c>
      <x:c r="E59" s="1" t="str">
        <x:v>Residue above-ground weight, dry weight basis</x:v>
      </x:c>
      <x:c r="F59" s="1" t="str">
        <x:v>Unique identifier for an initial conditions treatment</x:v>
      </x:c>
      <x:c r="G59" s="1" t="str">
        <x:v>Initial conditions measurement date; use YYYY-MM-DD.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</x:row>
    <x:row r="60">
      <x:c r="A60" s="1" t="str">
        <x:v>! Units</x:v>
      </x:c>
      <x:c r="B60" s="1" t="str">
        <x:v>kg[N]/ha</x:v>
      </x:c>
      <x:c r="C60" s="1"/>
      <x:c r="D60" s="1" t="str">
        <x:v>%</x:v>
      </x:c>
      <x:c r="E60" s="1" t="str">
        <x:v>kg/ha</x:v>
      </x:c>
      <x:c r="F60" s="1" t="str">
        <x:v>text</x:v>
      </x:c>
      <x:c r="G60" s="1" t="str">
        <x:v>date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</x:row>
    <x:row r="61">
      <x:c r="A61" s="2" t="str">
        <x:v>%</x:v>
      </x:c>
      <x:c r="B61" s="2" t="str">
        <x:v> ICIN </x:v>
      </x:c>
      <x:c r="C61" s="2"/>
      <x:c r="D61" s="2" t="str">
        <x:v>ICSW%</x:v>
      </x:c>
      <x:c r="E61" s="2" t="str">
        <x:v>icrag</x:v>
      </x:c>
      <x:c r="F61" s="2" t="str">
        <x:v>INITCOND</x:v>
      </x:c>
      <x:c r="G61" s="2" t="str">
        <x:v>ICDAT</x:v>
      </x:c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</x:row>
    <x:row r="62">
      <x:c r="A62" s="1" t="n">
        <x:v>11</x:v>
      </x:c>
      <x:c r="B62" s="1" t="n">
        <x:v>38</x:v>
      </x:c>
      <x:c r="C62" s="1"/>
      <x:c r="D62" s="1" t="n">
        <x:v>67</x:v>
      </x:c>
      <x:c r="E62" s="1"/>
      <x:c r="F62" s="1" t="str">
        <x:v>S0073</x:v>
      </x:c>
      <x:c r="G62" s="1" t="str">
        <x:v>2026-5-8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</x:row>
    <x:row r="63">
      <x:c r="A63" s="1" t="n">
        <x:v>17</x:v>
      </x:c>
      <x:c r="B63" s="1" t="n">
        <x:v>40</x:v>
      </x:c>
      <x:c r="C63" s="1"/>
      <x:c r="D63" s="1" t="n">
        <x:v>69</x:v>
      </x:c>
      <x:c r="E63" s="1"/>
      <x:c r="F63" s="1" t="str">
        <x:v>S0074</x:v>
      </x:c>
      <x:c r="G63" s="1" t="str">
        <x:v>27108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</x:row>
    <x:row r="65">
      <x:c r="A65" s="1" t="str">
        <x:v>! Section</x:v>
      </x:c>
      <x:c r="B65" s="1" t="str">
        <x:v>Initial_conditions_layer</x:v>
      </x:c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</x:row>
    <x:row r="66">
      <x:c r="A66" s="1" t="str">
        <x:v>! Definitions</x:v>
      </x:c>
      <x:c r="B66" s="1" t="str">
        <x:v>Initial conditions measurement date; use YYYY-MM-DD.</x:v>
      </x:c>
      <x:c r="C66" s="1"/>
      <x:c r="D66" s="1" t="str">
        <x:v>Identifier of the initial conditions treatment associated with the soil layer</x:v>
      </x:c>
      <x:c r="E66" s="1" t="str">
        <x:v>Soil layer depth to upper boundary of sample (top)</x:v>
      </x:c>
      <x:c r="F66" s="1" t="str">
        <x:v>Soil layer depth to lower boundary of sample (bottom)</x:v>
      </x:c>
      <x:c r="G66" s="1" t="str">
        <x:v>One or more represented plot_season_id values for this observation or layer row. Use a single ID for a single plot-season; use multiple IDs only for a broader observation. The API stores the trimmed, duplicate-free list in lexicographic order.</x:v>
      </x:c>
      <x:c r="H66" s="1" t="str">
        <x:v>Initial water concentration by layer</x:v>
      </x:c>
      <x:c r="I66" s="1" t="str">
        <x:v>Initial NO3 conc., as elemental N on dry wt. basis, by layer</x:v>
      </x:c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</x:row>
    <x:row r="67">
      <x:c r="A67" s="1" t="str">
        <x:v>! Units</x:v>
      </x:c>
      <x:c r="B67" s="1" t="str">
        <x:v>date</x:v>
      </x:c>
      <x:c r="C67" s="1"/>
      <x:c r="D67" s="1" t="str">
        <x:v>text</x:v>
      </x:c>
      <x:c r="E67" s="1" t="str">
        <x:v>cm</x:v>
      </x:c>
      <x:c r="F67" s="1" t="str">
        <x:v>cm</x:v>
      </x:c>
      <x:c r="G67" s="1" t="str">
        <x:v>text</x:v>
      </x:c>
      <x:c r="H67" s="1" t="str">
        <x:v>unitless</x:v>
      </x:c>
      <x:c r="I67" s="1" t="str">
        <x:v>ppm</x:v>
      </x:c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</x:row>
    <x:row r="68">
      <x:c r="A68" s="2" t="str">
        <x:v>%</x:v>
      </x:c>
      <x:c r="B68" s="2" t="str">
        <x:v>ICDAT</x:v>
      </x:c>
      <x:c r="C68" s="2"/>
      <x:c r="D68" s="2" t="str">
        <x:v>INIT_ICL</x:v>
      </x:c>
      <x:c r="E68" s="2" t="str">
        <x:v>sldub</x:v>
      </x:c>
      <x:c r="F68" s="2" t="str">
        <x:v>SLDLB</x:v>
      </x:c>
      <x:c r="G68" s="2" t="str">
        <x:v> GRPP_ICL </x:v>
      </x:c>
      <x:c r="H68" s="2" t="str">
        <x:v>ich2o</x:v>
      </x:c>
      <x:c r="I68" s="2" t="str">
        <x:v>ICNO3</x:v>
      </x:c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</x:row>
    <x:row r="69">
      <x:c r="A69" s="1" t="n">
        <x:v>11</x:v>
      </x:c>
      <x:c r="B69" s="3" t="d">
        <x:v>2026-05-08T00:00:00.000Z</x:v>
      </x:c>
      <x:c r="C69" s="1"/>
      <x:c r="D69" s="1" t="str">
        <x:v>S0073</x:v>
      </x:c>
      <x:c r="E69" s="1" t="n">
        <x:v>0</x:v>
      </x:c>
      <x:c r="F69" s="1" t="n">
        <x:v>20</x:v>
      </x:c>
      <x:c r="G69" s="1" t="str">
        <x:v>11</x:v>
      </x:c>
      <x:c r="H69" s="1" t="n">
        <x:v>0.235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</x:row>
    <x:row r="70">
      <x:c r="A70" s="1" t="n">
        <x:v>11</x:v>
      </x:c>
      <x:c r="B70" s="1" t="str">
        <x:v> 2026-05-08</x:v>
      </x:c>
      <x:c r="C70" s="1"/>
      <x:c r="D70" s="1" t="str">
        <x:v>S0073</x:v>
      </x:c>
      <x:c r="E70" s="1" t="n">
        <x:v>20</x:v>
      </x:c>
      <x:c r="F70" s="1" t="n">
        <x:v>40</x:v>
      </x:c>
      <x:c r="G70" s="1" t="str">
        <x:v>11</x:v>
      </x:c>
      <x:c r="H70" s="1" t="n">
        <x:v>0.245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</x:row>
    <x:row r="71">
      <x:c r="A71" s="1" t="n">
        <x:v>17</x:v>
      </x:c>
      <x:c r="B71" s="1" t="str">
        <x:v>2027-4-18</x:v>
      </x:c>
      <x:c r="C71" s="1"/>
      <x:c r="D71" s="1" t="str">
        <x:v>S0074</x:v>
      </x:c>
      <x:c r="E71" s="1" t="n">
        <x:v>0</x:v>
      </x:c>
      <x:c r="F71" s="1" t="n">
        <x:v>20</x:v>
      </x:c>
      <x:c r="G71" s="1" t="str">
        <x:v>17</x:v>
      </x:c>
      <x:c r="H71" s="1" t="n">
        <x:v>0.24</x:v>
      </x:c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</x:row>
    <x:row r="72">
      <x:c r="A72" s="1" t="n">
        <x:v>17</x:v>
      </x:c>
      <x:c r="B72" s="1" t="str">
        <x:v>27108</x:v>
      </x:c>
      <x:c r="C72" s="1"/>
      <x:c r="D72" s="1" t="str">
        <x:v>S0074</x:v>
      </x:c>
      <x:c r="E72" s="1" t="n">
        <x:v>20</x:v>
      </x:c>
      <x:c r="F72" s="1" t="n">
        <x:v>40</x:v>
      </x:c>
      <x:c r="G72" s="1" t="str">
        <x:v>17</x:v>
      </x:c>
      <x:c r="H72" s="1" t="n">
        <x:v>0.25</x:v>
      </x:c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</x:row>
    <x:row r="74">
      <x:c r="A74" s="1" t="str">
        <x:v>! Section</x:v>
      </x:c>
      <x:c r="B74" s="1" t="str">
        <x:v>Other_observations_summary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</x:row>
    <x:row r="75">
      <x:c r="A75" s="1" t="str">
        <x:v>! Definitions</x:v>
      </x:c>
      <x:c r="B75" s="1" t="str">
        <x:v>Organic matter appl (dry), cumulative</x:v>
      </x:c>
      <x:c r="C75" s="1"/>
      <x:c r="D75" s="1" t="str">
        <x:v>N, inorganic, applied up to harvest maturity</x:v>
      </x:c>
      <x:c r="E75" s="1" t="str">
        <x:v>Daily air temperature, average, sowing to harvest</x:v>
      </x:c>
      <x:c r="F75" s="1" t="str">
        <x:v>Minimum daily air temperature, average, sowing to harvest</x:v>
      </x:c>
      <x:c r="G75" s="1" t="str">
        <x:v>Maximum daily air temperature, average, sowing to harvest</x:v>
      </x:c>
      <x:c r="H75" s="1" t="str">
        <x:v>Solar radiation, average, sowing to harvest</x:v>
      </x:c>
      <x:c r="I75" s="1" t="str">
        <x:v>Drainage,season</x:v>
      </x:c>
      <x:c r="J75" s="1" t="str">
        <x:v>Runoff, season total</x:v>
      </x:c>
      <x:c r="K75" s="1" t="str">
        <x:v>Evaporation,soil, cumulative from planting to harvest</x:v>
      </x:c>
      <x:c r="L75" s="1" t="str">
        <x:v>Transpiration, cumulative from planting to harvest</x:v>
      </x:c>
      <x:c r="M75" s="1" t="str">
        <x:v>Evapotranspiration, cumulative from planting to harvest</x:v>
      </x:c>
      <x:c r="N75" s="1" t="str">
        <x:v>Rainfall, planting to harvest</x:v>
      </x:c>
      <x:c r="O75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</x:row>
    <x:row r="76">
      <x:c r="A76" s="1" t="str">
        <x:v>! Units</x:v>
      </x:c>
      <x:c r="B76" s="1" t="str">
        <x:v>kg/ha</x:v>
      </x:c>
      <x:c r="C76" s="1"/>
      <x:c r="D76" s="1" t="str">
        <x:v>kg/ha</x:v>
      </x:c>
      <x:c r="E76" s="1" t="str">
        <x:v>degree_C</x:v>
      </x:c>
      <x:c r="F76" s="1" t="str">
        <x:v>degree_C</x:v>
      </x:c>
      <x:c r="G76" s="1" t="str">
        <x:v>degree_C</x:v>
      </x:c>
      <x:c r="H76" s="1" t="str">
        <x:v>MJ/(m2.d)</x:v>
      </x:c>
      <x:c r="I76" s="1" t="str">
        <x:v>mm</x:v>
      </x:c>
      <x:c r="J76" s="1" t="str">
        <x:v>mm</x:v>
      </x:c>
      <x:c r="K76" s="1" t="str">
        <x:v>mm</x:v>
      </x:c>
      <x:c r="L76" s="1" t="str">
        <x:v>mm</x:v>
      </x:c>
      <x:c r="M76" s="1" t="str">
        <x:v>mm</x:v>
      </x:c>
      <x:c r="N76" s="1" t="str">
        <x:v>mm</x:v>
      </x:c>
      <x:c r="O76" s="1" t="str">
        <x:v>text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</x:row>
    <x:row r="77">
      <x:c r="A77" s="2" t="str">
        <x:v>#</x:v>
      </x:c>
      <x:c r="B77" s="2" t="str">
        <x:v>OMAC</x:v>
      </x:c>
      <x:c r="C77" s="2"/>
      <x:c r="D77" s="2" t="str">
        <x:v>nicm</x:v>
      </x:c>
      <x:c r="E77" s="2" t="str">
        <x:v>TAVGA</x:v>
      </x:c>
      <x:c r="F77" s="2" t="str">
        <x:v> TMINA </x:v>
      </x:c>
      <x:c r="G77" s="2" t="str">
        <x:v>tmaxa</x:v>
      </x:c>
      <x:c r="H77" s="2" t="str">
        <x:v>SRAA</x:v>
      </x:c>
      <x:c r="I77" s="2" t="str">
        <x:v>DRCM</x:v>
      </x:c>
      <x:c r="J77" s="2" t="str">
        <x:v>xocm</x:v>
      </x:c>
      <x:c r="K77" s="2" t="str">
        <x:v> ESCP </x:v>
      </x:c>
      <x:c r="L77" s="2" t="str">
        <x:v>EPCP</x:v>
      </x:c>
      <x:c r="M77" s="2" t="str">
        <x:v>etcp</x:v>
      </x:c>
      <x:c r="N77" s="2" t="str">
        <x:v>PRCP</x:v>
      </x:c>
      <x:c r="O77" s="2" t="str">
        <x:v>GRPPL_OO</x:v>
      </x:c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</x:row>
    <x:row r="78">
      <x:c r="A78" s="1" t="n">
        <x:v>11</x:v>
      </x:c>
      <x:c r="B78" s="1"/>
      <x:c r="C78" s="1"/>
      <x:c r="D78" s="1"/>
      <x:c r="E78" s="1"/>
      <x:c r="F78" s="1" t="str">
        <x:v>-99</x:v>
      </x:c>
      <x:c r="G78" s="1"/>
      <x:c r="H78" s="1"/>
      <x:c r="I78" s="1"/>
      <x:c r="J78" s="1" t="n">
        <x:v>18</x:v>
      </x:c>
      <x:c r="K78" s="1" t="n">
        <x:v>84.7</x:v>
      </x:c>
      <x:c r="L78" s="1" t="n">
        <x:v>233.2</x:v>
      </x:c>
      <x:c r="M78" s="1" t="n">
        <x:v>317.9</x:v>
      </x:c>
      <x:c r="N78" s="1" t="n">
        <x:v>225.43</x:v>
      </x:c>
      <x:c r="O78" s="1" t="str">
        <x:v>11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</x:row>
    <x:row r="79">
      <x:c r="A79" s="1" t="n">
        <x:v>17</x:v>
      </x:c>
      <x:c r="B79" s="1"/>
      <x:c r="C79" s="1"/>
      <x:c r="D79" s="1"/>
      <x:c r="E79" s="1" t="n">
        <x:v>17.74</x:v>
      </x:c>
      <x:c r="F79" s="1" t="n">
        <x:v>13.733</x:v>
      </x:c>
      <x:c r="G79" s="1" t="n">
        <x:v>21.746</x:v>
      </x:c>
      <x:c r="H79" s="1" t="n">
        <x:v>15.905</x:v>
      </x:c>
      <x:c r="I79" s="1" t="n">
        <x:v>32</x:v>
      </x:c>
      <x:c r="J79" s="1"/>
      <x:c r="K79" s="1"/>
      <x:c r="L79" s="1"/>
      <x:c r="M79" s="1"/>
      <x:c r="N79" s="1" t="n">
        <x:v>413.5</x:v>
      </x:c>
      <x:c r="O79" s="1" t="str">
        <x:v>17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</x:row>
    <x:row r="81">
      <x:c r="A81" s="1" t="str">
        <x:v>! Section</x:v>
      </x:c>
      <x:c r="B81" s="1" t="str">
        <x:v>Other_observations_timeseries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</x:row>
    <x:row r="82">
      <x:c r="A82" s="1" t="str">
        <x:v>! Definitions</x:v>
      </x:c>
      <x:c r="B82" s="1" t="str">
        <x:v>Date of measurement; use YYYY-MM-DD.</x:v>
      </x:c>
      <x:c r="C82" s="1"/>
      <x:c r="D82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E82" s="1" t="str">
        <x:v>Water available in root zone</x:v>
      </x:c>
      <x:c r="F82" s="1" t="str">
        <x:v>Transpiration (evaporation from plant), daily</x:v>
      </x:c>
      <x:c r="G82" s="1" t="str">
        <x:v>Evaporation, soil, daily</x:v>
      </x:c>
      <x:c r="H82" s="1" t="str">
        <x:v>Evapotranspiration</x:v>
      </x:c>
      <x:c r="I82" s="1" t="str">
        <x:v>Irrigation applications, cumulative</x:v>
      </x:c>
      <x:c r="J82" s="1" t="str">
        <x:v>Water stress factor reducing growth (0 to 1 scale)</x:v>
      </x:c>
      <x:c r="K82" s="1" t="str">
        <x:v>Irrigation, cumulative</x:v>
      </x:c>
      <x:c r="L82" s="1" t="str">
        <x:v>N applications</x:v>
      </x:c>
      <x:c r="M82" s="1" t="str">
        <x:v>Floodwater depth</x:v>
      </x:c>
      <x:c r="N82" s="1" t="str">
        <x:v>Daily CO2 emitted from decomposition of SOM</x:v>
      </x:c>
      <x:c r="O82" s="1" t="str">
        <x:v>Daily N2O emitted from soil</x:v>
      </x:c>
      <x:c r="P82" s="1" t="str">
        <x:v>Daily methane emitted from soil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</x:row>
    <x:row r="83">
      <x:c r="A83" s="1" t="str">
        <x:v>! Units</x:v>
      </x:c>
      <x:c r="B83" s="1" t="str">
        <x:v>date</x:v>
      </x:c>
      <x:c r="C83" s="1"/>
      <x:c r="D83" s="1" t="str">
        <x:v>text</x:v>
      </x:c>
      <x:c r="E83" s="1" t="str">
        <x:v>mm</x:v>
      </x:c>
      <x:c r="F83" s="1" t="str">
        <x:v>mm/d</x:v>
      </x:c>
      <x:c r="G83" s="1" t="str">
        <x:v>mm/d</x:v>
      </x:c>
      <x:c r="H83" s="1" t="str">
        <x:v>mm/d</x:v>
      </x:c>
      <x:c r="I83" s="1" t="str">
        <x:v>number</x:v>
      </x:c>
      <x:c r="J83" s="1" t="str">
        <x:v>number</x:v>
      </x:c>
      <x:c r="K83" s="1" t="str">
        <x:v>mm</x:v>
      </x:c>
      <x:c r="L83" s="1" t="str">
        <x:v>number</x:v>
      </x:c>
      <x:c r="M83" s="1" t="str">
        <x:v>mm</x:v>
      </x:c>
      <x:c r="N83" s="1" t="str">
        <x:v>g/ha</x:v>
      </x:c>
      <x:c r="O83" s="1" t="str">
        <x:v>g/ha</x:v>
      </x:c>
      <x:c r="P83" s="1" t="str">
        <x:v>g/ha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</x:row>
    <x:row r="84">
      <x:c r="A84" s="2" t="str">
        <x:v>%</x:v>
      </x:c>
      <x:c r="B84" s="2" t="str">
        <x:v>DATE</x:v>
      </x:c>
      <x:c r="C84" s="2"/>
      <x:c r="D84" s="2" t="str">
        <x:v>GRPPL_OO</x:v>
      </x:c>
      <x:c r="E84" s="2" t="str">
        <x:v>h2on</x:v>
      </x:c>
      <x:c r="F84" s="2" t="str">
        <x:v>EPAD</x:v>
      </x:c>
      <x:c r="G84" s="2" t="str">
        <x:v> ESAD </x:v>
      </x:c>
      <x:c r="H84" s="2" t="str">
        <x:v>etad</x:v>
      </x:c>
      <x:c r="I84" s="2" t="str">
        <x:v>IR#C</x:v>
      </x:c>
      <x:c r="J84" s="2" t="str">
        <x:v>WFGD</x:v>
      </x:c>
      <x:c r="K84" s="2" t="str">
        <x:v>irrc</x:v>
      </x:c>
      <x:c r="L84" s="2" t="str">
        <x:v> NI#M </x:v>
      </x:c>
      <x:c r="M84" s="2" t="str">
        <x:v>FLDD</x:v>
      </x:c>
      <x:c r="N84" s="2" t="str">
        <x:v>co2od</x:v>
      </x:c>
      <x:c r="O84" s="2" t="str">
        <x:v>N2OED</x:v>
      </x:c>
      <x:c r="P84" s="2" t="str">
        <x:v>CH4ED</x:v>
      </x:c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</x:row>
    <x:row r="85">
      <x:c r="A85" s="1" t="n">
        <x:v>11</x:v>
      </x:c>
      <x:c r="B85" s="3" t="d">
        <x:v>2026-06-12T00:00:00.000Z</x:v>
      </x:c>
      <x:c r="C85" s="1"/>
      <x:c r="D85" s="1" t="str">
        <x:v>11</x:v>
      </x:c>
      <x:c r="E85" s="1" t="str">
        <x:v>-99</x:v>
      </x:c>
      <x:c r="F85" s="1" t="n">
        <x:v>2.99</x:v>
      </x:c>
      <x:c r="G85" s="1" t="n">
        <x:v>0.79</x:v>
      </x:c>
      <x:c r="H85" s="1" t="n">
        <x:v>3.78</x:v>
      </x:c>
      <x:c r="I85" s="1"/>
      <x:c r="J85" s="1"/>
      <x:c r="K85" s="1"/>
      <x:c r="L85" s="1"/>
      <x:c r="M85" s="1"/>
      <x:c r="N85" s="1" t="str">
        <x:v>-99.0</x:v>
      </x:c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</x:row>
    <x:row r="86">
      <x:c r="A86" s="1" t="n">
        <x:v>11</x:v>
      </x:c>
      <x:c r="B86" s="1" t="str">
        <x:v> 2026-07-15</x:v>
      </x:c>
      <x:c r="C86" s="1"/>
      <x:c r="D86" s="1" t="str">
        <x:v>11</x:v>
      </x:c>
      <x:c r="E86" s="1"/>
      <x:c r="F86" s="1" t="n">
        <x:v>3.5</x:v>
      </x:c>
      <x:c r="G86" s="1" t="n">
        <x:v>0.65</x:v>
      </x:c>
      <x:c r="H86" s="1" t="n">
        <x:v>4.15</x:v>
      </x:c>
      <x:c r="I86" s="1"/>
      <x:c r="J86" s="1" t="str">
        <x:v>-99.0</x:v>
      </x:c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</x:row>
    <x:row r="87">
      <x:c r="A87" s="1" t="n">
        <x:v>11</x:v>
      </x:c>
      <x:c r="B87" s="1" t="str">
        <x:v>2026-8-22</x:v>
      </x:c>
      <x:c r="C87" s="1"/>
      <x:c r="D87" s="1" t="str">
        <x:v>11</x:v>
      </x:c>
      <x:c r="E87" s="1"/>
      <x:c r="F87" s="1" t="n">
        <x:v>2.28</x:v>
      </x:c>
      <x:c r="G87" s="1" t="n">
        <x:v>0.49</x:v>
      </x:c>
      <x:c r="H87" s="1" t="n">
        <x:v>2.77</x:v>
      </x:c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</x:row>
    <x:row r="88">
      <x:c r="A88" s="1" t="n">
        <x:v>17</x:v>
      </x:c>
      <x:c r="B88" s="1" t="str">
        <x:v>27170</x:v>
      </x:c>
      <x:c r="C88" s="1"/>
      <x:c r="D88" s="1" t="str">
        <x:v>17</x:v>
      </x:c>
      <x:c r="E88" s="1" t="n">
        <x:v>77.5</x:v>
      </x:c>
      <x:c r="F88" s="1"/>
      <x:c r="G88" s="1"/>
      <x:c r="H88" s="1" t="n">
        <x:v>3.78</x:v>
      </x:c>
      <x:c r="I88" s="1"/>
      <x:c r="J88" s="1" t="n">
        <x:v>0.93</x:v>
      </x:c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</x:row>
    <x:row r="89">
      <x:c r="A89" s="1" t="n">
        <x:v>17</x:v>
      </x:c>
      <x:c r="B89" s="3" t="d">
        <x:v>2027-07-25T00:00:00.000Z</x:v>
      </x:c>
      <x:c r="C89" s="1"/>
      <x:c r="D89" s="1" t="str">
        <x:v>17</x:v>
      </x:c>
      <x:c r="E89" s="1" t="n">
        <x:v>68.5</x:v>
      </x:c>
      <x:c r="F89" s="1"/>
      <x:c r="G89" s="1"/>
      <x:c r="H89" s="1" t="n">
        <x:v>4.15</x:v>
      </x:c>
      <x:c r="I89" s="1"/>
      <x:c r="J89" s="1" t="n">
        <x:v>0.88</x:v>
      </x:c>
      <x:c r="K89" s="1" t="str">
        <x:v>-99.0</x:v>
      </x:c>
      <x:c r="L89" s="1"/>
      <x:c r="M89" s="1"/>
      <x:c r="N89" s="1"/>
      <x:c r="O89" s="1"/>
      <x:c r="P89" s="1" t="str">
        <x:v>-99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</x:row>
    <x:row r="90">
      <x:c r="A90" s="1" t="n">
        <x:v>17</x:v>
      </x:c>
      <x:c r="B90" s="1" t="str">
        <x:v> 2027-09-05</x:v>
      </x:c>
      <x:c r="C90" s="1"/>
      <x:c r="D90" s="1" t="str">
        <x:v>17</x:v>
      </x:c>
      <x:c r="E90" s="1" t="n">
        <x:v>58</x:v>
      </x:c>
      <x:c r="F90" s="1" t="str">
        <x:v>-99.0</x:v>
      </x:c>
      <x:c r="G90" s="1"/>
      <x:c r="H90" s="1" t="n">
        <x:v>2.77</x:v>
      </x:c>
      <x:c r="I90" s="1"/>
      <x:c r="J90" s="1" t="n">
        <x:v>0.82</x:v>
      </x:c>
      <x:c r="K90" s="1"/>
      <x:c r="L90" s="1" t="str">
        <x:v>-99.0</x:v>
      </x:c>
      <x:c r="M90" s="1"/>
      <x:c r="N90" s="1" t="str">
        <x:v>-99</x:v>
      </x:c>
      <x:c r="O90" s="1" t="str">
        <x:v>-99.0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</x:row>
    <x:row r="92">
      <x:c r="A92" s="1" t="str">
        <x:v>! Section</x:v>
      </x:c>
      <x:c r="B92" s="1" t="str">
        <x:v>Planting_events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</x:row>
    <x:row r="93">
      <x:c r="A93" s="1" t="str">
        <x:v>! Definitions</x:v>
      </x:c>
      <x:c r="B93" s="1" t="str">
        <x:v>Transplant age</x:v>
      </x:c>
      <x:c r="C93" s="1"/>
      <x:c r="D93" s="1" t="str">
        <x:v>Plants per hill</x:v>
      </x:c>
      <x:c r="E93" s="1" t="str">
        <x:v>Distance between two adjacent rows</x:v>
      </x:c>
      <x:c r="F93" s="1" t="str">
        <x:v>Planting distribution</x:v>
      </x:c>
      <x:c r="G93" s="1" t="str">
        <x:v>Planting method</x:v>
      </x:c>
      <x:c r="H93" s="1" t="str">
        <x:v>Planting material</x:v>
      </x:c>
      <x:c r="I93" s="1" t="str">
        <x:v>Plant population at planting</x:v>
      </x:c>
      <x:c r="J93" s="1" t="str">
        <x:v>Transplant date; use YYYY-MM-DD.</x:v>
      </x:c>
      <x:c r="K93" s="1" t="str">
        <x:v>Unique identifier for a planting treatment</x:v>
      </x:c>
      <x:c r="L93" s="1" t="str">
        <x:v>Planting or sowing date; use YYYY-MM-DD.</x:v>
      </x:c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</x:row>
    <x:row r="94">
      <x:c r="A94" s="1" t="str">
        <x:v>! Units</x:v>
      </x:c>
      <x:c r="B94" s="1" t="str">
        <x:v>day</x:v>
      </x:c>
      <x:c r="C94" s="1"/>
      <x:c r="D94" s="1" t="str">
        <x:v>number</x:v>
      </x:c>
      <x:c r="E94" s="1" t="str">
        <x:v>cm</x:v>
      </x:c>
      <x:c r="F94" s="1" t="str">
        <x:v>code</x:v>
      </x:c>
      <x:c r="G94" s="1" t="str">
        <x:v>code</x:v>
      </x:c>
      <x:c r="H94" s="1" t="str">
        <x:v>code</x:v>
      </x:c>
      <x:c r="I94" s="1" t="str">
        <x:v>number/m2</x:v>
      </x:c>
      <x:c r="J94" s="1" t="str">
        <x:v>date</x:v>
      </x:c>
      <x:c r="K94" s="1" t="str">
        <x:v>text</x:v>
      </x:c>
      <x:c r="L94" s="1" t="str">
        <x:v>date</x:v>
      </x:c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</x:row>
    <x:row r="95">
      <x:c r="A95" s="2" t="str">
        <x:v>%</x:v>
      </x:c>
      <x:c r="B95" s="2" t="str">
        <x:v> PAGE </x:v>
      </x:c>
      <x:c r="C95" s="2"/>
      <x:c r="D95" s="2" t="str">
        <x:v>plph</x:v>
      </x:c>
      <x:c r="E95" s="2" t="str">
        <x:v>PLRS</x:v>
      </x:c>
      <x:c r="F95" s="2" t="str">
        <x:v>PLDS</x:v>
      </x:c>
      <x:c r="G95" s="2" t="str">
        <x:v>plme</x:v>
      </x:c>
      <x:c r="H95" s="2" t="str">
        <x:v> PLMA </x:v>
      </x:c>
      <x:c r="I95" s="2" t="str">
        <x:v>PLPOP</x:v>
      </x:c>
      <x:c r="J95" s="2" t="str">
        <x:v>trdate</x:v>
      </x:c>
      <x:c r="K95" s="2" t="str">
        <x:v>PLTTRTID</x:v>
      </x:c>
      <x:c r="L95" s="2" t="str">
        <x:v>PDATE</x:v>
      </x:c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</x:row>
    <x:row r="96">
      <x:c r="A96" s="1" t="n">
        <x:v>11</x:v>
      </x:c>
      <x:c r="B96" s="1"/>
      <x:c r="C96" s="1"/>
      <x:c r="D96" s="1" t="n">
        <x:v>3</x:v>
      </x:c>
      <x:c r="E96" s="1"/>
      <x:c r="F96" s="1" t="str">
        <x:v>H</x:v>
      </x:c>
      <x:c r="G96" s="1" t="str">
        <x:v>JP</x:v>
      </x:c>
      <x:c r="H96" s="1"/>
      <x:c r="I96" s="1"/>
      <x:c r="J96" s="1"/>
      <x:c r="K96" s="1" t="str">
        <x:v>S0101</x:v>
      </x:c>
      <x:c r="L96" s="1" t="str">
        <x:v>2026-5-15</x:v>
      </x:c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</x:row>
    <x:row r="97">
      <x:c r="A97" s="1" t="n">
        <x:v>17</x:v>
      </x:c>
      <x:c r="B97" s="1" t="n">
        <x:v>25</x:v>
      </x:c>
      <x:c r="C97" s="1"/>
      <x:c r="D97" s="1" t="str">
        <x:v>-99.0</x:v>
      </x:c>
      <x:c r="E97" s="1"/>
      <x:c r="F97" s="1" t="str">
        <x:v>N/A</x:v>
      </x:c>
      <x:c r="G97" s="1" t="str">
        <x:v>MT</x:v>
      </x:c>
      <x:c r="H97" s="1" t="str">
        <x:v>T</x:v>
      </x:c>
      <x:c r="I97" s="1"/>
      <x:c r="J97" s="3" t="d">
        <x:v>2027-05-20T00:00:00.000Z</x:v>
      </x:c>
      <x:c r="K97" s="1" t="str">
        <x:v>S0102</x:v>
      </x:c>
      <x:c r="L97" s="1" t="str">
        <x:v>27115</x:v>
      </x:c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</x:row>
    <x:row r="99">
      <x:c r="A99" s="1" t="str">
        <x:v>! Section</x:v>
      </x:c>
      <x:c r="B99" s="1" t="str">
        <x:v>Soil_layer_observations_summary</x:v>
      </x:c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</x:row>
    <x:row r="100">
      <x:c r="A100" s="1" t="str">
        <x:v>! Definitions</x:v>
      </x:c>
      <x:c r="B100" s="1" t="str">
        <x:v>Soil layer depth to upper boundary of sample (top)</x:v>
      </x:c>
      <x:c r="C100" s="1"/>
      <x:c r="D100" s="1" t="str">
        <x:v>Soil layer depth to lower boundary of sample (bottom)</x:v>
      </x:c>
      <x:c r="E100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 The canonical group list is part of this summary table logical key.</x:v>
      </x:c>
      <x:c r="F100" s="1" t="str">
        <x:v>Soil bulk density, moist, determined on field sample</x:v>
      </x:c>
      <x:c r="G100" s="1" t="str">
        <x:v>Organic carbon expressed as g[C]/100 g[soil]</x:v>
      </x:c>
      <x:c r="H100" s="1" t="str">
        <x:v>Nitrogen, total soil, total</x:v>
      </x:c>
      <x:c r="I100" s="1" t="str">
        <x:v>pH of soil in water, from in-field sample</x:v>
      </x:c>
      <x:c r="J100" s="1" t="str">
        <x:v>Soil water, extractable at maturity</x:v>
      </x:c>
      <x:c r="K100" s="1" t="str">
        <x:v>N, inorganic, in soil at harvest maturity</x:v>
      </x:c>
      <x:c r="L100" s="1" t="str">
        <x:v>N leached up to harvest maturity, from bottom of soil profile</x:v>
      </x:c>
      <x:c r="M100" s="1" t="str">
        <x:v>N uptake during season</x:v>
      </x:c>
      <x:c r="N100" s="1" t="str">
        <x:v>Soil P at maturity</x:v>
      </x:c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</x:row>
    <x:row r="101">
      <x:c r="A101" s="1" t="str">
        <x:v>! Units</x:v>
      </x:c>
      <x:c r="B101" s="1" t="str">
        <x:v>cm</x:v>
      </x:c>
      <x:c r="C101" s="1"/>
      <x:c r="D101" s="1" t="str">
        <x:v>cm</x:v>
      </x:c>
      <x:c r="E101" s="1" t="str">
        <x:v>text</x:v>
      </x:c>
      <x:c r="F101" s="1" t="str">
        <x:v>g/cm3</x:v>
      </x:c>
      <x:c r="G101" s="1" t="str">
        <x:v>%</x:v>
      </x:c>
      <x:c r="H101" s="1" t="str">
        <x:v>%</x:v>
      </x:c>
      <x:c r="I101" s="1" t="str">
        <x:v>number</x:v>
      </x:c>
      <x:c r="J101" s="1" t="str">
        <x:v>mm</x:v>
      </x:c>
      <x:c r="K101" s="1" t="str">
        <x:v>kg/ha</x:v>
      </x:c>
      <x:c r="L101" s="1" t="str">
        <x:v>kg/ha</x:v>
      </x:c>
      <x:c r="M101" s="1" t="str">
        <x:v>kg/ha</x:v>
      </x:c>
      <x:c r="N101" s="1" t="str">
        <x:v>kg/ha</x:v>
      </x:c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</x:row>
    <x:row r="102">
      <x:c r="A102" s="2" t="str">
        <x:v>%</x:v>
      </x:c>
      <x:c r="B102" s="2" t="str">
        <x:v>SLDUB</x:v>
      </x:c>
      <x:c r="C102" s="2"/>
      <x:c r="D102" s="2" t="str">
        <x:v>SLDLB</x:v>
      </x:c>
      <x:c r="E102" s="2" t="str">
        <x:v>grppls</x:v>
      </x:c>
      <x:c r="F102" s="2" t="str">
        <x:v>SABDM</x:v>
      </x:c>
      <x:c r="G102" s="2" t="str">
        <x:v> SAOC </x:v>
      </x:c>
      <x:c r="H102" s="2" t="str">
        <x:v>sani</x:v>
      </x:c>
      <x:c r="I102" s="2" t="str">
        <x:v>SSPOW</x:v>
      </x:c>
      <x:c r="J102" s="2" t="str">
        <x:v>SWXM</x:v>
      </x:c>
      <x:c r="K102" s="2" t="str">
        <x:v>niam</x:v>
      </x:c>
      <x:c r="L102" s="2" t="str">
        <x:v> NLCM </x:v>
      </x:c>
      <x:c r="M102" s="2" t="str">
        <x:v>NUCM</x:v>
      </x:c>
      <x:c r="N102" s="2" t="str">
        <x:v>slpam</x:v>
      </x:c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</x:row>
    <x:row r="103">
      <x:c r="A103" s="1" t="n">
        <x:v>11</x:v>
      </x:c>
      <x:c r="B103" s="1"/>
      <x:c r="C103" s="1"/>
      <x:c r="D103" s="1" t="str">
        <x:v>-99.0</x:v>
      </x:c>
      <x:c r="E103" s="1" t="str">
        <x:v>11</x:v>
      </x:c>
      <x:c r="F103" s="1"/>
      <x:c r="G103" s="1"/>
      <x:c r="H103" s="1"/>
      <x:c r="I103" s="1"/>
      <x:c r="J103" s="1" t="n">
        <x:v>61</x:v>
      </x:c>
      <x:c r="K103" s="1" t="n">
        <x:v>26</x:v>
      </x:c>
      <x:c r="L103" s="1" t="n">
        <x:v>6.4</x:v>
      </x:c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</x:row>
    <x:row r="104">
      <x:c r="A104" s="1" t="n">
        <x:v>17</x:v>
      </x:c>
      <x:c r="B104" s="1"/>
      <x:c r="C104" s="1"/>
      <x:c r="D104" s="1"/>
      <x:c r="E104" s="1" t="str">
        <x:v>17</x:v>
      </x:c>
      <x:c r="F104" s="1"/>
      <x:c r="G104" s="1"/>
      <x:c r="H104" s="1"/>
      <x:c r="I104" s="1"/>
      <x:c r="J104" s="1"/>
      <x:c r="K104" s="1" t="n">
        <x:v>29</x:v>
      </x:c>
      <x:c r="L104" s="1"/>
      <x:c r="M104" s="1" t="n">
        <x:v>102</x:v>
      </x:c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</x:row>
    <x:row r="105">
      <x:c r="A105" s="1" t="n">
        <x:v>11</x:v>
      </x:c>
      <x:c r="B105" s="1" t="n">
        <x:v>0</x:v>
      </x:c>
      <x:c r="C105" s="1"/>
      <x:c r="D105" s="1" t="n">
        <x:v>20</x:v>
      </x:c>
      <x:c r="E105" s="1" t="str">
        <x:v>11</x:v>
      </x:c>
      <x:c r="F105" s="1"/>
      <x:c r="G105" s="1" t="n">
        <x:v>1.76</x:v>
      </x:c>
      <x:c r="H105" s="1" t="n">
        <x:v>0.148</x:v>
      </x:c>
      <x:c r="I105" s="1" t="n">
        <x:v>6.58</x:v>
      </x:c>
      <x:c r="J105" s="1"/>
      <x:c r="K105" s="1" t="str">
        <x:v>-99</x:v>
      </x:c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</x:row>
    <x:row r="106">
      <x:c r="A106" s="1" t="n">
        <x:v>11</x:v>
      </x:c>
      <x:c r="B106" s="1" t="n">
        <x:v>20</x:v>
      </x:c>
      <x:c r="C106" s="1"/>
      <x:c r="D106" s="1" t="n">
        <x:v>40</x:v>
      </x:c>
      <x:c r="E106" s="1" t="str">
        <x:v>11</x:v>
      </x:c>
      <x:c r="F106" s="1" t="str">
        <x:v>-99.0</x:v>
      </x:c>
      <x:c r="G106" s="1" t="n">
        <x:v>1.46</x:v>
      </x:c>
      <x:c r="H106" s="1" t="n">
        <x:v>0.128</x:v>
      </x:c>
      <x:c r="I106" s="1" t="n">
        <x:v>6.48</x:v>
      </x:c>
      <x:c r="J106" s="1" t="str">
        <x:v>-99.0</x:v>
      </x:c>
      <x:c r="K106" s="1" t="str">
        <x:v>-99.0</x:v>
      </x:c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</x:row>
    <x:row r="107">
      <x:c r="A107" s="1" t="n">
        <x:v>17</x:v>
      </x:c>
      <x:c r="B107" s="1" t="n">
        <x:v>0</x:v>
      </x:c>
      <x:c r="C107" s="1"/>
      <x:c r="D107" s="1" t="n">
        <x:v>20</x:v>
      </x:c>
      <x:c r="E107" s="1" t="str">
        <x:v>17</x:v>
      </x:c>
      <x:c r="F107" s="1"/>
      <x:c r="G107" s="1" t="n">
        <x:v>1.78</x:v>
      </x:c>
      <x:c r="H107" s="1" t="n">
        <x:v>0.148</x:v>
      </x:c>
      <x:c r="I107" s="1" t="n">
        <x:v>6.58</x:v>
      </x:c>
      <x:c r="J107" s="1"/>
      <x:c r="K107" s="1" t="str">
        <x:v>-99.0</x:v>
      </x:c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</x:row>
    <x:row r="108">
      <x:c r="A108" s="1" t="n">
        <x:v>17</x:v>
      </x:c>
      <x:c r="B108" s="1" t="n">
        <x:v>20</x:v>
      </x:c>
      <x:c r="C108" s="1"/>
      <x:c r="D108" s="1" t="n">
        <x:v>40</x:v>
      </x:c>
      <x:c r="E108" s="1" t="str">
        <x:v>17</x:v>
      </x:c>
      <x:c r="F108" s="1"/>
      <x:c r="G108" s="1" t="n">
        <x:v>1.48</x:v>
      </x:c>
      <x:c r="H108" s="1" t="n">
        <x:v>0.128</x:v>
      </x:c>
      <x:c r="I108" s="1" t="n">
        <x:v>6.48</x:v>
      </x:c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</x:row>
    <x:row r="110">
      <x:c r="A110" s="1" t="str">
        <x:v>! Section</x:v>
      </x:c>
      <x:c r="B110" s="1" t="str">
        <x:v>Soil_layer_observations_timeseries</x:v>
      </x:c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</x:row>
    <x:row r="111">
      <x:c r="A111" s="1" t="str">
        <x:v>! Definitions</x:v>
      </x:c>
      <x:c r="B111" s="1" t="str">
        <x:v>Soil temperature of given soil layer</x:v>
      </x:c>
      <x:c r="C111" s="1"/>
      <x:c r="D111" s="1" t="str">
        <x:v>NH4[N], for a given soil layer</x:v>
      </x:c>
      <x:c r="E111" s="1" t="str">
        <x:v>NO3[N], for a given soil layer</x:v>
      </x:c>
      <x:c r="F111" s="1" t="str">
        <x:v>Root length_density (ratio of length to soil volume) in a soil layer</x:v>
      </x:c>
      <x:c r="G111" s="1" t="str">
        <x:v>Soil water measured at a specified depth</x:v>
      </x:c>
      <x:c r="H111" s="1" t="str">
        <x:v>Phosphorus, extractable</x:v>
      </x:c>
      <x:c r="I111" s="1" t="str">
        <x:v>One or more represented plot_season_id values for this observation or layer row. The row's plot_season_id must be included; use a single ID for a single plot-season; use multiple IDs only for a broader observation. The API stores the trimmed, duplicate-free list in lexicographic order.</x:v>
      </x:c>
      <x:c r="J111" s="1" t="str">
        <x:v>Soil layer depth to lower boundary of sample (bottom)</x:v>
      </x:c>
      <x:c r="K111" s="1" t="str">
        <x:v>Soil layer depth to upper boundary of sample (top)</x:v>
      </x:c>
      <x:c r="L111" s="1" t="str">
        <x:v>Date of measurement; use YYYY-MM-DD.</x:v>
      </x:c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</x:row>
    <x:row r="112">
      <x:c r="A112" s="1" t="str">
        <x:v>! Units</x:v>
      </x:c>
      <x:c r="B112" s="1" t="str">
        <x:v>degree_C</x:v>
      </x:c>
      <x:c r="C112" s="1"/>
      <x:c r="D112" s="1" t="str">
        <x:v>g/Mg</x:v>
      </x:c>
      <x:c r="E112" s="1" t="str">
        <x:v>g/Mg</x:v>
      </x:c>
      <x:c r="F112" s="1" t="str">
        <x:v>cm/cm3</x:v>
      </x:c>
      <x:c r="G112" s="1" t="str">
        <x:v>cm3/cm3</x:v>
      </x:c>
      <x:c r="H112" s="1" t="str">
        <x:v>mg/kg</x:v>
      </x:c>
      <x:c r="I112" s="1" t="str">
        <x:v>text</x:v>
      </x:c>
      <x:c r="J112" s="1" t="str">
        <x:v>cm</x:v>
      </x:c>
      <x:c r="K112" s="1" t="str">
        <x:v>cm</x:v>
      </x:c>
      <x:c r="L112" s="1" t="str">
        <x:v>date</x:v>
      </x:c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</x:row>
    <x:row r="113">
      <x:c r="A113" s="2" t="str">
        <x:v>%</x:v>
      </x:c>
      <x:c r="B113" s="2" t="str">
        <x:v> TMPSLD </x:v>
      </x:c>
      <x:c r="C113" s="2"/>
      <x:c r="D113" s="2" t="str">
        <x:v>nhsld</x:v>
      </x:c>
      <x:c r="E113" s="2" t="str">
        <x:v>NOSLD</x:v>
      </x:c>
      <x:c r="F113" s="2" t="str">
        <x:v>RLDLD</x:v>
      </x:c>
      <x:c r="G113" s="2" t="str">
        <x:v>swld</x:v>
      </x:c>
      <x:c r="H113" s="2" t="str">
        <x:v> SLPX </x:v>
      </x:c>
      <x:c r="I113" s="2" t="str">
        <x:v>GRPPLS</x:v>
      </x:c>
      <x:c r="J113" s="2" t="str">
        <x:v>sldlb</x:v>
      </x:c>
      <x:c r="K113" s="2" t="str">
        <x:v>SLDUB</x:v>
      </x:c>
      <x:c r="L113" s="2" t="str">
        <x:v>DATE</x:v>
      </x:c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</x:row>
    <x:row r="114">
      <x:c r="A114" s="1" t="n">
        <x:v>11</x:v>
      </x:c>
      <x:c r="B114" s="1" t="n">
        <x:v>19.13</x:v>
      </x:c>
      <x:c r="C114" s="1"/>
      <x:c r="D114" s="1" t="n">
        <x:v>1.54</x:v>
      </x:c>
      <x:c r="E114" s="1" t="n">
        <x:v>6</x:v>
      </x:c>
      <x:c r="F114" s="1" t="str">
        <x:v>-99</x:v>
      </x:c>
      <x:c r="G114" s="1" t="n">
        <x:v>0.229</x:v>
      </x:c>
      <x:c r="H114" s="1" t="n">
        <x:v>22.8</x:v>
      </x:c>
      <x:c r="I114" s="1" t="str">
        <x:v>11</x:v>
      </x:c>
      <x:c r="J114" s="1" t="n">
        <x:v>20</x:v>
      </x:c>
      <x:c r="K114" s="1" t="n">
        <x:v>0</x:v>
      </x:c>
      <x:c r="L114" s="1" t="str">
        <x:v> 2026-06-06</x:v>
      </x:c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</x:row>
    <x:row r="115">
      <x:c r="A115" s="1" t="n">
        <x:v>11</x:v>
      </x:c>
      <x:c r="B115" s="1" t="n">
        <x:v>18.53</x:v>
      </x:c>
      <x:c r="C115" s="1"/>
      <x:c r="D115" s="1" t="n">
        <x:v>1.38</x:v>
      </x:c>
      <x:c r="E115" s="1" t="n">
        <x:v>5.5</x:v>
      </x:c>
      <x:c r="F115" s="1"/>
      <x:c r="G115" s="1" t="n">
        <x:v>0.239</x:v>
      </x:c>
      <x:c r="H115" s="1" t="n">
        <x:v>20.8</x:v>
      </x:c>
      <x:c r="I115" s="1" t="str">
        <x:v>11</x:v>
      </x:c>
      <x:c r="J115" s="1" t="n">
        <x:v>40</x:v>
      </x:c>
      <x:c r="K115" s="1" t="n">
        <x:v>20</x:v>
      </x:c>
      <x:c r="L115" s="1" t="str">
        <x:v>2026-6-6</x:v>
      </x:c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</x:row>
    <x:row r="116">
      <x:c r="A116" s="1" t="n">
        <x:v>11</x:v>
      </x:c>
      <x:c r="B116" s="1" t="n">
        <x:v>21.6</x:v>
      </x:c>
      <x:c r="C116" s="1"/>
      <x:c r="D116" s="1" t="n">
        <x:v>1.45</x:v>
      </x:c>
      <x:c r="E116" s="1" t="n">
        <x:v>5.1</x:v>
      </x:c>
      <x:c r="F116" s="1"/>
      <x:c r="G116" s="1" t="n">
        <x:v>0.231</x:v>
      </x:c>
      <x:c r="H116" s="1" t="n">
        <x:v>22.5</x:v>
      </x:c>
      <x:c r="I116" s="1" t="str">
        <x:v>11</x:v>
      </x:c>
      <x:c r="J116" s="1" t="n">
        <x:v>20</x:v>
      </x:c>
      <x:c r="K116" s="1" t="n">
        <x:v>0</x:v>
      </x:c>
      <x:c r="L116" s="1" t="str">
        <x:v>26190</x:v>
      </x:c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</x:row>
    <x:row r="117">
      <x:c r="A117" s="1" t="n">
        <x:v>11</x:v>
      </x:c>
      <x:c r="B117" s="1" t="n">
        <x:v>21</x:v>
      </x:c>
      <x:c r="C117" s="1"/>
      <x:c r="D117" s="1" t="n">
        <x:v>1.29</x:v>
      </x:c>
      <x:c r="E117" s="1" t="n">
        <x:v>4.6</x:v>
      </x:c>
      <x:c r="F117" s="1"/>
      <x:c r="G117" s="1" t="n">
        <x:v>0.24</x:v>
      </x:c>
      <x:c r="H117" s="1" t="n">
        <x:v>20.5</x:v>
      </x:c>
      <x:c r="I117" s="1" t="str">
        <x:v>11</x:v>
      </x:c>
      <x:c r="J117" s="1" t="n">
        <x:v>40</x:v>
      </x:c>
      <x:c r="K117" s="1" t="n">
        <x:v>20</x:v>
      </x:c>
      <x:c r="L117" s="3" t="d">
        <x:v>2026-07-09T00:00:00.000Z</x:v>
      </x:c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</x:row>
    <x:row r="118">
      <x:c r="A118" s="1" t="n">
        <x:v>11</x:v>
      </x:c>
      <x:c r="B118" s="1" t="n">
        <x:v>18.32</x:v>
      </x:c>
      <x:c r="C118" s="1"/>
      <x:c r="D118" s="1" t="n">
        <x:v>1.35</x:v>
      </x:c>
      <x:c r="E118" s="1" t="n">
        <x:v>4.05</x:v>
      </x:c>
      <x:c r="F118" s="1"/>
      <x:c r="G118" s="1" t="n">
        <x:v>0.202</x:v>
      </x:c>
      <x:c r="H118" s="1" t="n">
        <x:v>22.15</x:v>
      </x:c>
      <x:c r="I118" s="1" t="str">
        <x:v>11</x:v>
      </x:c>
      <x:c r="J118" s="1" t="n">
        <x:v>20</x:v>
      </x:c>
      <x:c r="K118" s="1" t="n">
        <x:v>0</x:v>
      </x:c>
      <x:c r="L118" s="1" t="str">
        <x:v> 2026-08-17</x:v>
      </x:c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</x:row>
    <x:row r="119">
      <x:c r="A119" s="1" t="n">
        <x:v>11</x:v>
      </x:c>
      <x:c r="B119" s="1" t="n">
        <x:v>17.72</x:v>
      </x:c>
      <x:c r="C119" s="1"/>
      <x:c r="D119" s="1" t="n">
        <x:v>1.19</x:v>
      </x:c>
      <x:c r="E119" s="1" t="n">
        <x:v>3.55</x:v>
      </x:c>
      <x:c r="F119" s="1"/>
      <x:c r="G119" s="1" t="n">
        <x:v>0.212</x:v>
      </x:c>
      <x:c r="H119" s="1" t="n">
        <x:v>20.15</x:v>
      </x:c>
      <x:c r="I119" s="1" t="str">
        <x:v>11</x:v>
      </x:c>
      <x:c r="J119" s="1" t="n">
        <x:v>40</x:v>
      </x:c>
      <x:c r="K119" s="1" t="n">
        <x:v>20</x:v>
      </x:c>
      <x:c r="L119" s="1" t="str">
        <x:v>2026-8-17</x:v>
      </x:c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</x:row>
    <x:row r="120">
      <x:c r="A120" s="1" t="n">
        <x:v>17</x:v>
      </x:c>
      <x:c r="B120" s="1"/>
      <x:c r="C120" s="1"/>
      <x:c r="D120" s="1"/>
      <x:c r="E120" s="1"/>
      <x:c r="F120" s="1" t="n">
        <x:v>0.6</x:v>
      </x:c>
      <x:c r="G120" s="1"/>
      <x:c r="H120" s="1" t="n">
        <x:v>0.232</x:v>
      </x:c>
      <x:c r="I120" s="1"/>
      <x:c r="J120" s="1" t="str">
        <x:v>17</x:v>
      </x:c>
      <x:c r="K120" s="1" t="n">
        <x:v>20</x:v>
      </x:c>
      <x:c r="L120" s="1" t="n">
        <x:v>0</x:v>
      </x:c>
      <x:c r="M120" s="1" t="str">
        <x:v>27164</x:v>
      </x:c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</x:row>
    <x:row r="121">
      <x:c r="A121" s="1" t="n">
        <x:v>17</x:v>
      </x:c>
      <x:c r="B121" s="1" t="str">
        <x:v>-99</x:v>
      </x:c>
      <x:c r="C121" s="1"/>
      <x:c r="D121" s="1"/>
      <x:c r="E121" s="1"/>
      <x:c r="F121" s="1" t="n">
        <x:v>0.36</x:v>
      </x:c>
      <x:c r="G121" s="1"/>
      <x:c r="H121" s="1" t="n">
        <x:v>0.242</x:v>
      </x:c>
      <x:c r="I121" s="1"/>
      <x:c r="J121" s="1" t="str">
        <x:v>17</x:v>
      </x:c>
      <x:c r="K121" s="1" t="n">
        <x:v>40</x:v>
      </x:c>
      <x:c r="L121" s="1" t="n">
        <x:v>20</x:v>
      </x:c>
      <x:c r="M121" s="3" t="d">
        <x:v>2027-06-13T00:00:00.000Z</x:v>
      </x:c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</x:row>
    <x:row r="122">
      <x:c r="A122" s="1" t="n">
        <x:v>17</x:v>
      </x:c>
      <x:c r="B122" s="1"/>
      <x:c r="C122" s="1"/>
      <x:c r="D122" s="1" t="str">
        <x:v>-99</x:v>
      </x:c>
      <x:c r="E122" s="1"/>
      <x:c r="F122" s="1" t="n">
        <x:v>1.02</x:v>
      </x:c>
      <x:c r="G122" s="1" t="n">
        <x:v>0.234</x:v>
      </x:c>
      <x:c r="H122" s="1"/>
      <x:c r="I122" s="1" t="str">
        <x:v>17</x:v>
      </x:c>
      <x:c r="J122" s="1" t="n">
        <x:v>20</x:v>
      </x:c>
      <x:c r="K122" s="1" t="n">
        <x:v>0</x:v>
      </x:c>
      <x:c r="L122" s="1" t="str">
        <x:v> 2027-07-19</x:v>
      </x:c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</x:row>
    <x:row r="123">
      <x:c r="A123" s="1" t="n">
        <x:v>17</x:v>
      </x:c>
      <x:c r="B123" s="1"/>
      <x:c r="C123" s="1"/>
      <x:c r="D123" s="1" t="str">
        <x:v>-99.0</x:v>
      </x:c>
      <x:c r="E123" s="1"/>
      <x:c r="F123" s="1" t="n">
        <x:v>0.612</x:v>
      </x:c>
      <x:c r="G123" s="1" t="n">
        <x:v>0.243</x:v>
      </x:c>
      <x:c r="H123" s="1"/>
      <x:c r="I123" s="1" t="str">
        <x:v>17</x:v>
      </x:c>
      <x:c r="J123" s="1" t="n">
        <x:v>40</x:v>
      </x:c>
      <x:c r="K123" s="1" t="n">
        <x:v>20</x:v>
      </x:c>
      <x:c r="L123" s="1" t="str">
        <x:v>2027-7-19</x:v>
      </x:c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</x:row>
    <x:row r="124">
      <x:c r="A124" s="1" t="n">
        <x:v>17</x:v>
      </x:c>
      <x:c r="B124" s="1"/>
      <x:c r="C124" s="1"/>
      <x:c r="D124" s="1"/>
      <x:c r="E124" s="1"/>
      <x:c r="F124" s="1" t="n">
        <x:v>0.463</x:v>
      </x:c>
      <x:c r="G124" s="1" t="n">
        <x:v>0.205</x:v>
      </x:c>
      <x:c r="H124" s="1"/>
      <x:c r="I124" s="1" t="str">
        <x:v>17</x:v>
      </x:c>
      <x:c r="J124" s="1" t="n">
        <x:v>20</x:v>
      </x:c>
      <x:c r="K124" s="1" t="n">
        <x:v>0</x:v>
      </x:c>
      <x:c r="L124" s="1" t="str">
        <x:v>27242</x:v>
      </x:c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</x:row>
    <x:row r="125">
      <x:c r="A125" s="1" t="n">
        <x:v>17</x:v>
      </x:c>
      <x:c r="B125" s="1"/>
      <x:c r="C125" s="1"/>
      <x:c r="D125" s="1"/>
      <x:c r="E125" s="1"/>
      <x:c r="F125" s="1" t="n">
        <x:v>0.278</x:v>
      </x:c>
      <x:c r="G125" s="1" t="n">
        <x:v>0.215</x:v>
      </x:c>
      <x:c r="H125" s="1"/>
      <x:c r="I125" s="1" t="str">
        <x:v>17</x:v>
      </x:c>
      <x:c r="J125" s="1" t="n">
        <x:v>40</x:v>
      </x:c>
      <x:c r="K125" s="1" t="n">
        <x:v>20</x:v>
      </x:c>
      <x:c r="L125" s="3" t="d">
        <x:v>2027-08-30T00:00:00.000Z</x:v>
      </x:c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