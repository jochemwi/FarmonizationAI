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6e4c17d43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669dccc9b8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356cddd9c47c5" /><Relationship Type="http://schemas.openxmlformats.org/officeDocument/2006/relationships/theme" Target="/xl/theme/theme1.xml" Id="Rb89a091ecaed4574" /><Relationship Type="http://schemas.openxmlformats.org/officeDocument/2006/relationships/sharedStrings" Target="/xl/sharedStrings.xml" Id="Rc6f7d3bc9ed64672" /><Relationship Type="http://schemas.openxmlformats.org/officeDocument/2006/relationships/worksheet" Target="/xl/worksheets/sheet1.xml" Id="R67669dccc9b8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! Definitions</x:v>
      </x:c>
      <x:c r="B18" s="1" t="str">
        <x:v>Plot identification</x:v>
      </x:c>
      <x:c r="C18" s="1"/>
      <x:c r="D18" s="1" t="str">
        <x:v>Soil identifier linking from SOIL_PROFILES for a single profile</x:v>
      </x:c>
      <x:c r="E18" s="1" t="str">
        <x:v>Field, identifier usually consisting of institution+site+4 digit number</x:v>
      </x:c>
      <x:c r="F18" s="1" t="str">
        <x:v>Plot area (gross) per rep</x:v>
      </x:c>
      <x:c r="G18" s="1" t="str">
        <x:v>Plot length (gross) for single plot or treatment</x:v>
      </x:c>
      <x:c r="H18" s="1" t="str">
        <x:v>Plot width (gross) for single plot or treatment</x:v>
      </x:c>
      <x:c r="I18" s="1" t="str">
        <x:v>Plot harvest area</x:v>
      </x:c>
      <x:c r="J18" s="1" t="str">
        <x:v>Field latitude</x:v>
      </x:c>
      <x:c r="K18" s="1" t="str">
        <x:v>Field longitude, E positive, W negative</x:v>
      </x:c>
      <x:c r="L18" s="1" t="str">
        <x:v>Field slope (from horizontal)</x:v>
      </x:c>
      <x:c r="M18" s="1" t="str">
        <x:v>Unique identifier for a treatment record</x:v>
      </x:c>
      <x:c r="N18" s="1" t="str">
        <x:v>Identifier of the genotype used in the treatment</x:v>
      </x:c>
      <x:c r="O18" s="1" t="str">
        <x:v>Identifier of the weather station associated with the treatment</x:v>
      </x:c>
      <x:c r="P18" s="1" t="str">
        <x:v>Identifier of the initial-conditions treatment</x:v>
      </x:c>
      <x:c r="Q18" s="1" t="str">
        <x:v>Identifier of the planting treatment</x:v>
      </x:c>
      <x:c r="R18" s="1" t="str">
        <x:v>Identifier of the irrigation treatment</x:v>
      </x:c>
      <x:c r="S18" s="1" t="str">
        <x:v>Identifier of the fertilization treatment</x:v>
      </x:c>
      <x:c r="T18" s="1" t="str">
        <x:v>Identifier of the automatic irrigation treatment</x:v>
      </x:c>
      <x:c r="U18" s="1" t="str">
        <x:v>Identifier of the organic material application treatment</x:v>
      </x:c>
      <x:c r="V18" s="1" t="str">
        <x:v>Identifier of the chemical application treatment</x:v>
      </x:c>
      <x:c r="W18" s="1" t="str">
        <x:v>Identifier of the tillage treatment</x:v>
      </x:c>
      <x:c r="X18" s="1" t="str">
        <x:v>Identifier of the environmental modification treatment</x:v>
      </x:c>
      <x:c r="Y18" s="1" t="str">
        <x:v>Identifier of the harvest treatment</x:v>
      </x:c>
      <x:c r="Z18" s="1" t="str">
        <x:v>Identifier of the mulch treatment</x:v>
      </x:c>
      <x:c r="AA18" s="1" t="str">
        <x:v>Crop (or weed) species identifier</x:v>
      </x:c>
      <x:c r="AB18" s="1" t="str">
        <x:v>Preferred genotype identifier, potentially a cultivar, breeding line, hybrid, clone, population, or other.</x:v>
      </x:c>
      <x:c r="AC18" s="1" t="str">
        <x:v>Repeated field identifier</x:v>
      </x:c>
    </x:row>
    <x:row r="19">
      <x:c r="A19" s="1" t="str">
        <x:v>! Units</x:v>
      </x:c>
      <x:c r="B19" s="1" t="str">
        <x:v>text</x:v>
      </x:c>
      <x:c r="C19" s="1"/>
      <x:c r="D19" s="1" t="str">
        <x:v>text</x:v>
      </x:c>
      <x:c r="E19" s="1" t="str">
        <x:v>text</x:v>
      </x:c>
      <x:c r="F19" s="1" t="str">
        <x:v>m2</x:v>
      </x:c>
      <x:c r="G19" s="1" t="str">
        <x:v>m</x:v>
      </x:c>
      <x:c r="H19" s="1" t="str">
        <x:v>m</x:v>
      </x:c>
      <x:c r="I19" s="1" t="str">
        <x:v>m2</x:v>
      </x:c>
      <x:c r="J19" s="1" t="str">
        <x:v>decimal_degrees</x:v>
      </x:c>
      <x:c r="K19" s="1" t="str">
        <x:v>decimal_degrees</x:v>
      </x:c>
      <x:c r="L19" s="1" t="str">
        <x:v>percent</x:v>
      </x:c>
      <x:c r="M19" s="1" t="str">
        <x:v>text</x:v>
      </x:c>
      <x:c r="N19" s="1" t="str">
        <x:v>text</x:v>
      </x:c>
      <x:c r="O19" s="1" t="str">
        <x:v>text</x:v>
      </x:c>
      <x:c r="P19" s="1" t="str">
        <x:v>text</x:v>
      </x:c>
      <x:c r="Q19" s="1" t="str">
        <x:v>text</x:v>
      </x:c>
      <x:c r="R19" s="1" t="str">
        <x:v>text</x:v>
      </x:c>
      <x:c r="S19" s="1" t="str">
        <x:v>text</x:v>
      </x:c>
      <x:c r="T19" s="1" t="str">
        <x:v>text</x:v>
      </x:c>
      <x:c r="U19" s="1" t="str">
        <x:v>text</x:v>
      </x:c>
      <x:c r="V19" s="1" t="str">
        <x:v>text</x:v>
      </x:c>
      <x:c r="W19" s="1" t="str">
        <x:v>text</x:v>
      </x:c>
      <x:c r="X19" s="1" t="str">
        <x:v>text</x:v>
      </x:c>
      <x:c r="Y19" s="1" t="str">
        <x:v>text</x:v>
      </x:c>
      <x:c r="Z19" s="1" t="str">
        <x:v>text</x:v>
      </x:c>
      <x:c r="AA19" s="1" t="str">
        <x:v>code</x:v>
      </x:c>
      <x:c r="AB19" s="1" t="str">
        <x:v>text</x:v>
      </x:c>
      <x:c r="AC19" s="1" t="str">
        <x:v>Repeated field identifier</x:v>
      </x:c>
    </x:row>
    <x:row r="20">
      <x:c r="A20" s="2" t="str">
        <x:v>#</x:v>
      </x:c>
      <x:c r="B20" s="2" t="str">
        <x:v>PLTID</x:v>
      </x:c>
      <x:c r="C20" s="2"/>
      <x:c r="D20" s="2" t="str">
        <x:v>SOIL_ID</x:v>
      </x:c>
      <x:c r="E20" s="2" t="str">
        <x:v>field_id</x:v>
      </x:c>
      <x:c r="F20" s="2" t="str">
        <x:v>PLTA</x:v>
      </x:c>
      <x:c r="G20" s="2" t="str">
        <x:v> PLTLN </x:v>
      </x:c>
      <x:c r="H20" s="2" t="str">
        <x:v>pltwi</x:v>
      </x:c>
      <x:c r="I20" s="2" t="str">
        <x:v>PLTHA</x:v>
      </x:c>
      <x:c r="J20" s="2" t="str">
        <x:v>FL_LAT</x:v>
      </x:c>
      <x:c r="K20" s="2" t="str">
        <x:v>fl_long</x:v>
      </x:c>
      <x:c r="L20" s="2" t="str">
        <x:v> FLSL </x:v>
      </x:c>
      <x:c r="M20" s="2" t="str">
        <x:v>TRTID</x:v>
      </x:c>
      <x:c r="N20" s="2" t="str">
        <x:v>genid</x:v>
      </x:c>
      <x:c r="O20" s="2" t="str">
        <x:v>WTHSTAID</x:v>
      </x:c>
      <x:c r="P20" s="2" t="str">
        <x:v>INITC_TR</x:v>
      </x:c>
      <x:c r="Q20" s="2" t="str">
        <x:v> plttr_tr </x:v>
      </x:c>
      <x:c r="R20" s="2" t="str">
        <x:v>IRRTR_TR</x:v>
      </x:c>
      <x:c r="S20" s="2" t="str">
        <x:v>FERTT_TR</x:v>
      </x:c>
      <x:c r="T20" s="2" t="str">
        <x:v>autoi_tr</x:v>
      </x:c>
      <x:c r="U20" s="2" t="str">
        <x:v>ORGMA_TR</x:v>
      </x:c>
      <x:c r="V20" s="2" t="str">
        <x:v> CHEMA_TR </x:v>
      </x:c>
      <x:c r="W20" s="2" t="str">
        <x:v>tiltr_tr</x:v>
      </x:c>
      <x:c r="X20" s="2" t="str">
        <x:v>ENVMO_TR</x:v>
      </x:c>
      <x:c r="Y20" s="2" t="str">
        <x:v>HARVT_TR</x:v>
      </x:c>
      <x:c r="Z20" s="2" t="str">
        <x:v>multr_tr</x:v>
      </x:c>
      <x:c r="AA20" s="2" t="str">
        <x:v> CRID </x:v>
      </x:c>
      <x:c r="AB20" s="2" t="str">
        <x:v>GENO_NAME</x:v>
      </x:c>
      <x:c r="AC20" s="2" t="str">
        <x:v>ID_FIELD</x:v>
      </x:c>
    </x:row>
    <x:row r="21">
      <x:c r="A21" s="1" t="n">
        <x:v>11</x:v>
      </x:c>
      <x:c r="B21" s="1" t="str">
        <x:v>S0106</x:v>
      </x:c>
      <x:c r="C21" s="1"/>
      <x:c r="D21" s="1" t="str">
        <x:v>SYNL00000X</x:v>
      </x:c>
      <x:c r="E21" s="1" t="str">
        <x:v>S0153</x:v>
      </x:c>
      <x:c r="F21" s="1" t="n">
        <x:v>150</x:v>
      </x:c>
      <x:c r="G21" s="1" t="n">
        <x:v>30</x:v>
      </x:c>
      <x:c r="H21" s="1" t="n">
        <x:v>5</x:v>
      </x:c>
      <x:c r="I21" s="1" t="n">
        <x:v>84</x:v>
      </x:c>
      <x:c r="J21" s="1" t="n">
        <x:v>51.83</x:v>
      </x:c>
      <x:c r="K21" s="1" t="n">
        <x:v>5.545</x:v>
      </x:c>
      <x:c r="L21" s="1" t="n">
        <x:v>1.8</x:v>
      </x:c>
      <x:c r="M21" s="1" t="str">
        <x:v>S0118</x:v>
      </x:c>
      <x:c r="N21" s="1" t="str">
        <x:v>S0043</x:v>
      </x:c>
      <x:c r="O21" s="1" t="str">
        <x:v>SYN1 </x:v>
      </x:c>
      <x:c r="P21" s="1" t="str">
        <x:v>S0069</x:v>
      </x:c>
      <x:c r="Q21" s="1" t="str">
        <x:v>S0097</x:v>
      </x:c>
      <x:c r="R21" s="1"/>
      <x:c r="S21" s="1" t="str">
        <x:v>S0027</x:v>
      </x:c>
      <x:c r="T21" s="1"/>
      <x:c r="U21" s="1"/>
      <x:c r="V21" s="1"/>
      <x:c r="W21" s="1"/>
      <x:c r="X21" s="1"/>
      <x:c r="Y21" s="1" t="str">
        <x:v>S0055</x:v>
      </x:c>
      <x:c r="Z21" s="1"/>
      <x:c r="AA21" s="1" t="str">
        <x:v>S0049</x:v>
      </x:c>
      <x:c r="AB21" s="1" t="str">
        <x:v>Synthetic_Wheat_01</x:v>
      </x:c>
      <x:c r="AC21" s="1" t="str">
        <x:v>S0153</x:v>
      </x:c>
    </x:row>
    <x:row r="22">
      <x:c r="A22" s="1" t="e">
        <x:f>+#REF!+1</x:f>
        <x:v>#REF!</x:v>
      </x:c>
      <x:c r="B22" s="1" t="str">
        <x:v>S0107</x:v>
      </x:c>
      <x:c r="C22" s="1"/>
      <x:c r="D22" s="1" t="str">
        <x:v>SYNL000003</x:v>
      </x:c>
      <x:c r="E22" s="1" t="str">
        <x:v>S0153</x:v>
      </x:c>
      <x:c r="F22" s="1" t="n">
        <x:v>160</x:v>
      </x:c>
      <x:c r="G22" s="1" t="n">
        <x:v>32</x:v>
      </x:c>
      <x:c r="H22" s="1" t="n">
        <x:v>5</x:v>
      </x:c>
      <x:c r="I22" s="1" t="str">
        <x:v>-99.0</x:v>
      </x:c>
      <x:c r="J22" s="1" t="n">
        <x:v>51.83</x:v>
      </x:c>
      <x:c r="K22" s="1" t="n">
        <x:v>5.545</x:v>
      </x:c>
      <x:c r="L22" s="1" t="n">
        <x:v>1.8</x:v>
      </x:c>
      <x:c r="M22" s="1" t="str">
        <x:v>S0119</x:v>
      </x:c>
      <x:c r="N22" s="1" t="str">
        <x:v>S0043</x:v>
      </x:c>
      <x:c r="O22" s="1" t="str">
        <x:v>SYN1</x:v>
      </x:c>
      <x:c r="P22" s="1" t="str">
        <x:v>S0069</x:v>
      </x:c>
      <x:c r="Q22" s="1" t="str">
        <x:v>S0097</x:v>
      </x:c>
      <x:c r="R22" s="1" t="str">
        <x:v>S0084</x:v>
      </x:c>
      <x:c r="S22" s="1" t="str">
        <x:v>S0026</x:v>
      </x:c>
      <x:c r="T22" s="1"/>
      <x:c r="U22" s="1"/>
      <x:c r="V22" s="1"/>
      <x:c r="W22" s="1"/>
      <x:c r="X22" s="1"/>
      <x:c r="Y22" s="1" t="str">
        <x:v>S0055</x:v>
      </x:c>
      <x:c r="Z22" s="1"/>
      <x:c r="AA22" s="1" t="str">
        <x:v>S0049</x:v>
      </x:c>
      <x:c r="AB22" s="1" t="str">
        <x:v>Synthetic_Wheat_01</x:v>
      </x:c>
      <x:c r="AC22" s="1" t="str">
        <x:v>S0153</x:v>
      </x:c>
    </x:row>
    <x:row r="23">
      <x:c r="A23" s="1" t="n">
        <x:v>23</x:v>
      </x:c>
      <x:c r="B23" s="1" t="str">
        <x:v>S0108</x:v>
      </x:c>
      <x:c r="C23" s="1"/>
      <x:c r="D23" s="1" t="str">
        <x:v>SYNL000003</x:v>
      </x:c>
      <x:c r="E23" s="1" t="str">
        <x:v>S0153</x:v>
      </x:c>
      <x:c r="F23" s="1" t="n">
        <x:v>170</x:v>
      </x:c>
      <x:c r="G23" s="1" t="n">
        <x:v>34</x:v>
      </x:c>
      <x:c r="H23" s="1" t="n">
        <x:v>5</x:v>
      </x:c>
      <x:c r="I23" s="1" t="n">
        <x:v>96</x:v>
      </x:c>
      <x:c r="J23" s="1" t="n">
        <x:v>51.83</x:v>
      </x:c>
      <x:c r="K23" s="1" t="n">
        <x:v>5.545</x:v>
      </x:c>
      <x:c r="L23" s="1" t="n">
        <x:v>1.8</x:v>
      </x:c>
      <x:c r="M23" s="1" t="str">
        <x:v>S0120</x:v>
      </x:c>
      <x:c r="N23" s="1" t="str">
        <x:v>S0043</x:v>
      </x:c>
      <x:c r="O23" s="1" t="str">
        <x:v>SYN1</x:v>
      </x:c>
      <x:c r="P23" s="1" t="str">
        <x:v>S0069</x:v>
      </x:c>
      <x:c r="Q23" s="1" t="str">
        <x:v>S0097</x:v>
      </x:c>
      <x:c r="R23" s="1" t="str">
        <x:v>S0084</x:v>
      </x:c>
      <x:c r="S23" s="1" t="str">
        <x:v>S0027</x:v>
      </x:c>
      <x:c r="T23" s="1" t="str">
        <x:v>S0007</x:v>
      </x:c>
      <x:c r="U23" s="1" t="str">
        <x:v>S0091</x:v>
      </x:c>
      <x:c r="V23" s="1" t="str">
        <x:v>S0013</x:v>
      </x:c>
      <x:c r="W23" s="1" t="str">
        <x:v>S0157</x:v>
      </x:c>
      <x:c r="X23" s="1" t="str">
        <x:v>S0019</x:v>
      </x:c>
      <x:c r="Y23" s="1" t="str">
        <x:v>S0055</x:v>
      </x:c>
      <x:c r="Z23" s="1" t="str">
        <x:v>S0085</x:v>
      </x:c>
      <x:c r="AA23" s="1" t="str">
        <x:v>S0049</x:v>
      </x:c>
      <x:c r="AB23" s="1" t="str">
        <x:v>Synthetic_Wheat_01</x:v>
      </x:c>
      <x:c r="AC23" s="1" t="str">
        <x:v>S0153</x:v>
      </x:c>
    </x:row>
    <x:row r="24">
      <x:c r="A24" s="1" t="n">
        <x:v>29</x:v>
      </x:c>
      <x:c r="B24" s="1" t="str">
        <x:v>S0106</x:v>
      </x:c>
      <x:c r="C24" s="1"/>
      <x:c r="D24" s="1" t="str">
        <x:v>SYNL000003</x:v>
      </x:c>
      <x:c r="E24" s="1" t="str">
        <x:v>S0153</x:v>
      </x:c>
      <x:c r="F24" s="1" t="n">
        <x:v>150</x:v>
      </x:c>
      <x:c r="G24" s="1" t="n">
        <x:v>30</x:v>
      </x:c>
      <x:c r="H24" s="1" t="n">
        <x:v>5</x:v>
      </x:c>
      <x:c r="I24" s="1" t="n">
        <x:v>84</x:v>
      </x:c>
      <x:c r="J24" s="1" t="n">
        <x:v>51.83</x:v>
      </x:c>
      <x:c r="K24" s="1" t="n">
        <x:v>5.545</x:v>
      </x:c>
      <x:c r="L24" s="1" t="n">
        <x:v>1.8</x:v>
      </x:c>
      <x:c r="M24" s="1" t="str">
        <x:v>S0124</x:v>
      </x:c>
      <x:c r="N24" s="1" t="str">
        <x:v>S0044</x:v>
      </x:c>
      <x:c r="O24" s="1" t="str">
        <x:v>SYN1</x:v>
      </x:c>
      <x:c r="P24" s="1" t="str">
        <x:v>S0070</x:v>
      </x:c>
      <x:c r="Q24" s="1" t="str">
        <x:v>S0098</x:v>
      </x:c>
      <x:c r="R24" s="1"/>
      <x:c r="S24" s="1" t="str">
        <x:v>S0030</x:v>
      </x:c>
      <x:c r="T24" s="1" t="str">
        <x:v>N/A</x:v>
      </x:c>
      <x:c r="U24" s="1"/>
      <x:c r="V24" s="1"/>
      <x:c r="W24" s="1"/>
      <x:c r="X24" s="1"/>
      <x:c r="Y24" s="1" t="str">
        <x:v>S0056</x:v>
      </x:c>
      <x:c r="Z24" s="1"/>
      <x:c r="AA24" s="1" t="str">
        <x:v>S0050</x:v>
      </x:c>
      <x:c r="AB24" s="1" t="str">
        <x:v>Synthetic_Maize_01</x:v>
      </x:c>
      <x:c r="AC24" s="1" t="str">
        <x:v>S0153</x:v>
      </x:c>
    </x:row>
    <x:row r="25">
      <x:c r="A25" s="1" t="n">
        <x:v>35</x:v>
      </x:c>
      <x:c r="B25" s="1" t="str">
        <x:v>S0107</x:v>
      </x:c>
      <x:c r="C25" s="1"/>
      <x:c r="D25" s="1" t="str">
        <x:v>SYNL000003</x:v>
      </x:c>
      <x:c r="E25" s="1" t="str">
        <x:v>S0153</x:v>
      </x:c>
      <x:c r="F25" s="1" t="n">
        <x:v>160</x:v>
      </x:c>
      <x:c r="G25" s="1" t="n">
        <x:v>32</x:v>
      </x:c>
      <x:c r="H25" s="1" t="n">
        <x:v>5</x:v>
      </x:c>
      <x:c r="I25" s="1" t="str">
        <x:v>-99</x:v>
      </x:c>
      <x:c r="J25" s="1" t="n">
        <x:v>51.83</x:v>
      </x:c>
      <x:c r="K25" s="1" t="n">
        <x:v>5.545</x:v>
      </x:c>
      <x:c r="L25" s="1" t="n">
        <x:v>1.8</x:v>
      </x:c>
      <x:c r="M25" s="1" t="str">
        <x:v>S0125</x:v>
      </x:c>
      <x:c r="N25" s="1" t="str">
        <x:v>S0044</x:v>
      </x:c>
      <x:c r="O25" s="1" t="str">
        <x:v>SYN1</x:v>
      </x:c>
      <x:c r="P25" s="1" t="str">
        <x:v>S0070</x:v>
      </x:c>
      <x:c r="Q25" s="1" t="str">
        <x:v>S0098</x:v>
      </x:c>
      <x:c r="R25" s="1" t="str">
        <x:v>S0079</x:v>
      </x:c>
      <x:c r="S25" s="1" t="str">
        <x:v>S0029</x:v>
      </x:c>
      <x:c r="T25" s="1"/>
      <x:c r="U25" s="1"/>
      <x:c r="V25" s="1"/>
      <x:c r="W25" s="1"/>
      <x:c r="X25" s="1"/>
      <x:c r="Y25" s="1" t="str">
        <x:v>S0056</x:v>
      </x:c>
      <x:c r="Z25" s="1"/>
      <x:c r="AA25" s="1" t="str">
        <x:v>S0050</x:v>
      </x:c>
      <x:c r="AB25" s="1" t="str">
        <x:v>Synthetic_Maize_01</x:v>
      </x:c>
      <x:c r="AC25" s="1" t="str">
        <x:v>S0153</x:v>
      </x:c>
    </x:row>
    <x:row r="26">
      <x:c r="A26" s="1" t="n">
        <x:v>41</x:v>
      </x:c>
      <x:c r="B26" s="1" t="str">
        <x:v>S0108</x:v>
      </x:c>
      <x:c r="C26" s="1"/>
      <x:c r="D26" s="1" t="str">
        <x:v>SYNL000003</x:v>
      </x:c>
      <x:c r="E26" s="1" t="str">
        <x:v>S0153</x:v>
      </x:c>
      <x:c r="F26" s="1" t="n">
        <x:v>170</x:v>
      </x:c>
      <x:c r="G26" s="1" t="n">
        <x:v>34</x:v>
      </x:c>
      <x:c r="H26" s="1" t="n">
        <x:v>5</x:v>
      </x:c>
      <x:c r="I26" s="1" t="n">
        <x:v>96</x:v>
      </x:c>
      <x:c r="J26" s="1" t="n">
        <x:v>51.83</x:v>
      </x:c>
      <x:c r="K26" s="1" t="n">
        <x:v>5.545</x:v>
      </x:c>
      <x:c r="L26" s="1" t="n">
        <x:v>1.8</x:v>
      </x:c>
      <x:c r="M26" s="1" t="str">
        <x:v>S0126</x:v>
      </x:c>
      <x:c r="N26" s="1" t="str">
        <x:v>S0044</x:v>
      </x:c>
      <x:c r="O26" s="1" t="str">
        <x:v>SYN1</x:v>
      </x:c>
      <x:c r="P26" s="1" t="str">
        <x:v>S0070</x:v>
      </x:c>
      <x:c r="Q26" s="1" t="str">
        <x:v>S0098</x:v>
      </x:c>
      <x:c r="R26" s="1" t="str">
        <x:v>S0079</x:v>
      </x:c>
      <x:c r="S26" s="1" t="str">
        <x:v>S0030</x:v>
      </x:c>
      <x:c r="T26" s="1" t="str">
        <x:v>S0008</x:v>
      </x:c>
      <x:c r="U26" s="1" t="str">
        <x:v>S0092</x:v>
      </x:c>
      <x:c r="V26" s="1" t="str">
        <x:v>S0014</x:v>
      </x:c>
      <x:c r="W26" s="1" t="str">
        <x:v>S0158</x:v>
      </x:c>
      <x:c r="X26" s="1" t="str">
        <x:v>S0020</x:v>
      </x:c>
      <x:c r="Y26" s="1" t="str">
        <x:v>S0056</x:v>
      </x:c>
      <x:c r="Z26" s="1" t="str">
        <x:v>S0086</x:v>
      </x:c>
      <x:c r="AA26" s="1" t="str">
        <x:v>S0050</x:v>
      </x:c>
      <x:c r="AB26" s="1" t="str">
        <x:v>Synthetic_Maize_01</x:v>
      </x:c>
      <x:c r="AC26" s="1" t="str">
        <x:v>S0153</x:v>
      </x:c>
    </x:row>
    <x:row r="27">
      <x:c r="A27" s="1" t="n">
        <x:v>47</x:v>
      </x:c>
      <x:c r="B27" s="1" t="str">
        <x:v>S0106</x:v>
      </x:c>
      <x:c r="C27" s="1"/>
      <x:c r="D27" s="1" t="str">
        <x:v>SYNL000003</x:v>
      </x:c>
      <x:c r="E27" s="1" t="str">
        <x:v>S0153</x:v>
      </x:c>
      <x:c r="F27" s="1" t="n">
        <x:v>150</x:v>
      </x:c>
      <x:c r="G27" s="1" t="n">
        <x:v>30</x:v>
      </x:c>
      <x:c r="H27" s="1" t="n">
        <x:v>5</x:v>
      </x:c>
      <x:c r="I27" s="1" t="n">
        <x:v>84</x:v>
      </x:c>
      <x:c r="J27" s="1" t="n">
        <x:v>51.83</x:v>
      </x:c>
      <x:c r="K27" s="1" t="n">
        <x:v>5.545</x:v>
      </x:c>
      <x:c r="L27" s="1" t="n">
        <x:v>1.8</x:v>
      </x:c>
      <x:c r="M27" s="1" t="str">
        <x:v>S0130</x:v>
      </x:c>
      <x:c r="N27" s="1" t="str">
        <x:v>S0045</x:v>
      </x:c>
      <x:c r="O27" s="1" t="str">
        <x:v>SYN1</x:v>
      </x:c>
      <x:c r="P27" s="1" t="str">
        <x:v>S0071</x:v>
      </x:c>
      <x:c r="Q27" s="1" t="str">
        <x:v>S0099</x:v>
      </x:c>
      <x:c r="R27" s="1"/>
      <x:c r="S27" s="1" t="str">
        <x:v>S0033</x:v>
      </x:c>
      <x:c r="T27" s="1"/>
      <x:c r="U27" s="1"/>
      <x:c r="V27" s="1" t="str">
        <x:v>N/A</x:v>
      </x:c>
      <x:c r="W27" s="1"/>
      <x:c r="X27" s="1"/>
      <x:c r="Y27" s="1" t="str">
        <x:v>S0057</x:v>
      </x:c>
      <x:c r="Z27" s="1"/>
      <x:c r="AA27" s="1" t="str">
        <x:v>S0051</x:v>
      </x:c>
      <x:c r="AB27" s="1" t="str">
        <x:v>Synthetic_Soybean_01</x:v>
      </x:c>
      <x:c r="AC27" s="1" t="str">
        <x:v>S0153</x:v>
      </x:c>
    </x:row>
    <x:row r="28">
      <x:c r="A28" s="1" t="n">
        <x:v>53</x:v>
      </x:c>
      <x:c r="B28" s="1" t="str">
        <x:v>S0107</x:v>
      </x:c>
      <x:c r="C28" s="1"/>
      <x:c r="D28" s="1" t="str">
        <x:v>SYNL000003</x:v>
      </x:c>
      <x:c r="E28" s="1" t="str">
        <x:v>S0153</x:v>
      </x:c>
      <x:c r="F28" s="1" t="n">
        <x:v>160</x:v>
      </x:c>
      <x:c r="G28" s="1" t="n">
        <x:v>32</x:v>
      </x:c>
      <x:c r="H28" s="1" t="n">
        <x:v>5</x:v>
      </x:c>
      <x:c r="I28" s="1"/>
      <x:c r="J28" s="1" t="n">
        <x:v>51.83</x:v>
      </x:c>
      <x:c r="K28" s="1" t="n">
        <x:v>5.545</x:v>
      </x:c>
      <x:c r="L28" s="1" t="n">
        <x:v>1.8</x:v>
      </x:c>
      <x:c r="M28" s="1" t="str">
        <x:v>S0131</x:v>
      </x:c>
      <x:c r="N28" s="1" t="str">
        <x:v>S0045</x:v>
      </x:c>
      <x:c r="O28" s="1" t="str">
        <x:v>SYN1</x:v>
      </x:c>
      <x:c r="P28" s="1" t="str">
        <x:v>S0071</x:v>
      </x:c>
      <x:c r="Q28" s="1" t="str">
        <x:v>S0099</x:v>
      </x:c>
      <x:c r="R28" s="1" t="str">
        <x:v>S0080</x:v>
      </x:c>
      <x:c r="S28" s="1" t="str">
        <x:v>S0032</x:v>
      </x:c>
      <x:c r="T28" s="1"/>
      <x:c r="U28" s="1"/>
      <x:c r="V28" s="1"/>
      <x:c r="W28" s="1"/>
      <x:c r="X28" s="1" t="str">
        <x:v>N/A</x:v>
      </x:c>
      <x:c r="Y28" s="1" t="str">
        <x:v>S0057</x:v>
      </x:c>
      <x:c r="Z28" s="1"/>
      <x:c r="AA28" s="1" t="str">
        <x:v>S0051</x:v>
      </x:c>
      <x:c r="AB28" s="1" t="str">
        <x:v>Synthetic_Soybean_01</x:v>
      </x:c>
      <x:c r="AC28" s="1" t="str">
        <x:v>S0153</x:v>
      </x:c>
    </x:row>
    <x:row r="29">
      <x:c r="A29" s="1" t="n">
        <x:v>59</x:v>
      </x:c>
      <x:c r="B29" s="1" t="str">
        <x:v>S0108</x:v>
      </x:c>
      <x:c r="C29" s="1"/>
      <x:c r="D29" s="1" t="str">
        <x:v>SYNL000003</x:v>
      </x:c>
      <x:c r="E29" s="1" t="str">
        <x:v>S0153</x:v>
      </x:c>
      <x:c r="F29" s="1" t="n">
        <x:v>170</x:v>
      </x:c>
      <x:c r="G29" s="1" t="n">
        <x:v>34</x:v>
      </x:c>
      <x:c r="H29" s="1" t="n">
        <x:v>5</x:v>
      </x:c>
      <x:c r="I29" s="1" t="n">
        <x:v>96</x:v>
      </x:c>
      <x:c r="J29" s="1" t="n">
        <x:v>51.83</x:v>
      </x:c>
      <x:c r="K29" s="1" t="n">
        <x:v>5.545</x:v>
      </x:c>
      <x:c r="L29" s="1" t="n">
        <x:v>1.8</x:v>
      </x:c>
      <x:c r="M29" s="1" t="str">
        <x:v>S0132</x:v>
      </x:c>
      <x:c r="N29" s="1" t="str">
        <x:v>S0045</x:v>
      </x:c>
      <x:c r="O29" s="1" t="str">
        <x:v>SYN1</x:v>
      </x:c>
      <x:c r="P29" s="1" t="str">
        <x:v>S0071</x:v>
      </x:c>
      <x:c r="Q29" s="1" t="str">
        <x:v>S0099</x:v>
      </x:c>
      <x:c r="R29" s="1" t="str">
        <x:v>S0080</x:v>
      </x:c>
      <x:c r="S29" s="1" t="str">
        <x:v>S0033</x:v>
      </x:c>
      <x:c r="T29" s="1" t="str">
        <x:v>S0009</x:v>
      </x:c>
      <x:c r="U29" s="1" t="str">
        <x:v>S0093</x:v>
      </x:c>
      <x:c r="V29" s="1" t="str">
        <x:v>S0015</x:v>
      </x:c>
      <x:c r="W29" s="1" t="str">
        <x:v>S0159</x:v>
      </x:c>
      <x:c r="X29" s="1" t="str">
        <x:v>S0021</x:v>
      </x:c>
      <x:c r="Y29" s="1" t="str">
        <x:v>S0057</x:v>
      </x:c>
      <x:c r="Z29" s="1" t="str">
        <x:v>S0087</x:v>
      </x:c>
      <x:c r="AA29" s="1" t="str">
        <x:v>S0051</x:v>
      </x:c>
      <x:c r="AB29" s="1" t="str">
        <x:v>Synthetic_Soybean_01</x:v>
      </x:c>
      <x:c r="AC29" s="1" t="str">
        <x:v>S0153</x:v>
      </x:c>
    </x:row>
    <x:row r="30">
      <x:c r="A30" s="1" t="n">
        <x:v>65</x:v>
      </x:c>
      <x:c r="B30" s="1" t="str">
        <x:v>S0106</x:v>
      </x:c>
      <x:c r="C30" s="1"/>
      <x:c r="D30" s="1" t="str">
        <x:v>SYNL000003</x:v>
      </x:c>
      <x:c r="E30" s="1" t="str">
        <x:v>S0153</x:v>
      </x:c>
      <x:c r="F30" s="1" t="n">
        <x:v>150</x:v>
      </x:c>
      <x:c r="G30" s="1" t="n">
        <x:v>30</x:v>
      </x:c>
      <x:c r="H30" s="1" t="n">
        <x:v>5</x:v>
      </x:c>
      <x:c r="I30" s="1" t="n">
        <x:v>84</x:v>
      </x:c>
      <x:c r="J30" s="1" t="n">
        <x:v>51.83</x:v>
      </x:c>
      <x:c r="K30" s="1" t="n">
        <x:v>5.545</x:v>
      </x:c>
      <x:c r="L30" s="1" t="n">
        <x:v>1.8</x:v>
      </x:c>
      <x:c r="M30" s="1" t="str">
        <x:v>S0136</x:v>
      </x:c>
      <x:c r="N30" s="1" t="str">
        <x:v>S0046</x:v>
      </x:c>
      <x:c r="O30" s="1" t="str">
        <x:v>SYN1</x:v>
      </x:c>
      <x:c r="P30" s="1" t="str">
        <x:v>S0072</x:v>
      </x:c>
      <x:c r="Q30" s="1" t="str">
        <x:v>S0100</x:v>
      </x:c>
      <x:c r="R30" s="1"/>
      <x:c r="S30" s="1" t="str">
        <x:v>S0036</x:v>
      </x:c>
      <x:c r="T30" s="1"/>
      <x:c r="U30" s="1"/>
      <x:c r="V30" s="1" t="str">
        <x:v>UNKNOWN</x:v>
      </x:c>
      <x:c r="W30" s="1"/>
      <x:c r="X30" s="1"/>
      <x:c r="Y30" s="1" t="str">
        <x:v>S0058</x:v>
      </x:c>
      <x:c r="Z30" s="1"/>
      <x:c r="AA30" s="1" t="str">
        <x:v>S0052</x:v>
      </x:c>
      <x:c r="AB30" s="1" t="str">
        <x:v>Synthetic_Barley_01</x:v>
      </x:c>
      <x:c r="AC30" s="1" t="str">
        <x:v>S0153</x:v>
      </x:c>
    </x:row>
    <x:row r="31">
      <x:c r="A31" s="1" t="n">
        <x:v>71</x:v>
      </x:c>
      <x:c r="B31" s="1" t="str">
        <x:v>S0107</x:v>
      </x:c>
      <x:c r="C31" s="1"/>
      <x:c r="D31" s="1" t="str">
        <x:v>SYNL000003</x:v>
      </x:c>
      <x:c r="E31" s="1" t="str">
        <x:v>S0153</x:v>
      </x:c>
      <x:c r="F31" s="1" t="n">
        <x:v>160</x:v>
      </x:c>
      <x:c r="G31" s="1" t="n">
        <x:v>32</x:v>
      </x:c>
      <x:c r="H31" s="1" t="n">
        <x:v>5</x:v>
      </x:c>
      <x:c r="I31" s="1"/>
      <x:c r="J31" s="1" t="n">
        <x:v>51.83</x:v>
      </x:c>
      <x:c r="K31" s="1" t="n">
        <x:v>5.545</x:v>
      </x:c>
      <x:c r="L31" s="1" t="n">
        <x:v>1.8</x:v>
      </x:c>
      <x:c r="M31" s="1" t="str">
        <x:v>S0137</x:v>
      </x:c>
      <x:c r="N31" s="1" t="str">
        <x:v>S0046</x:v>
      </x:c>
      <x:c r="O31" s="1" t="str">
        <x:v>SYN1</x:v>
      </x:c>
      <x:c r="P31" s="1" t="str">
        <x:v>S0072</x:v>
      </x:c>
      <x:c r="Q31" s="1" t="str">
        <x:v>S0100</x:v>
      </x:c>
      <x:c r="R31" s="1" t="str">
        <x:v>S0081</x:v>
      </x:c>
      <x:c r="S31" s="1" t="str">
        <x:v>S0035</x:v>
      </x:c>
      <x:c r="T31" s="1"/>
      <x:c r="U31" s="1"/>
      <x:c r="V31" s="1"/>
      <x:c r="W31" s="1"/>
      <x:c r="X31" s="1"/>
      <x:c r="Y31" s="1" t="str">
        <x:v>S0058</x:v>
      </x:c>
      <x:c r="Z31" s="1"/>
      <x:c r="AA31" s="1" t="str">
        <x:v>S0052</x:v>
      </x:c>
      <x:c r="AB31" s="1" t="str">
        <x:v>Synthetic_Barley_01</x:v>
      </x:c>
      <x:c r="AC31" s="1" t="str">
        <x:v>S0153</x:v>
      </x:c>
    </x:row>
    <x:row r="32">
      <x:c r="A32" s="1" t="n">
        <x:v>77</x:v>
      </x:c>
      <x:c r="B32" s="1" t="str">
        <x:v>S0108</x:v>
      </x:c>
      <x:c r="C32" s="1"/>
      <x:c r="D32" s="1" t="str">
        <x:v>SYNL000003</x:v>
      </x:c>
      <x:c r="E32" s="1" t="str">
        <x:v>S0153</x:v>
      </x:c>
      <x:c r="F32" s="1" t="n">
        <x:v>170</x:v>
      </x:c>
      <x:c r="G32" s="1" t="n">
        <x:v>34</x:v>
      </x:c>
      <x:c r="H32" s="1" t="n">
        <x:v>5</x:v>
      </x:c>
      <x:c r="I32" s="1" t="n">
        <x:v>96</x:v>
      </x:c>
      <x:c r="J32" s="1" t="n">
        <x:v>51.83</x:v>
      </x:c>
      <x:c r="K32" s="1" t="n">
        <x:v>5.545</x:v>
      </x:c>
      <x:c r="L32" s="1" t="n">
        <x:v>1.8</x:v>
      </x:c>
      <x:c r="M32" s="1" t="str">
        <x:v>S0138</x:v>
      </x:c>
      <x:c r="N32" s="1" t="str">
        <x:v>S0046</x:v>
      </x:c>
      <x:c r="O32" s="1" t="str">
        <x:v>SYN1</x:v>
      </x:c>
      <x:c r="P32" s="1" t="str">
        <x:v>S0072</x:v>
      </x:c>
      <x:c r="Q32" s="1" t="str">
        <x:v>S0100</x:v>
      </x:c>
      <x:c r="R32" s="1" t="str">
        <x:v>S0081</x:v>
      </x:c>
      <x:c r="S32" s="1" t="str">
        <x:v>S0036</x:v>
      </x:c>
      <x:c r="T32" s="1" t="str">
        <x:v>S0010</x:v>
      </x:c>
      <x:c r="U32" s="1" t="str">
        <x:v>S0094</x:v>
      </x:c>
      <x:c r="V32" s="1" t="str">
        <x:v>S0016</x:v>
      </x:c>
      <x:c r="W32" s="1" t="str">
        <x:v>S0160</x:v>
      </x:c>
      <x:c r="X32" s="1" t="str">
        <x:v>S0022</x:v>
      </x:c>
      <x:c r="Y32" s="1" t="str">
        <x:v>S0058</x:v>
      </x:c>
      <x:c r="Z32" s="1" t="str">
        <x:v>S0088</x:v>
      </x:c>
      <x:c r="AA32" s="1" t="str">
        <x:v>S0052</x:v>
      </x:c>
      <x:c r="AB32" s="1" t="str">
        <x:v>Synthetic_Barley_01</x:v>
      </x:c>
      <x:c r="AC32" s="1" t="str">
        <x:v>S0153</x:v>
      </x:c>
    </x:row>
    <x:row r="33">
      <x:c r="A33" s="1" t="str">
        <x:v>! estimated</x:v>
      </x:c>
      <x:c r="B33" s="1" t="str">
        <x:v>Synthetic structural annotation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 t="str">
        <x:v>! Section</x:v>
      </x:c>
      <x:c r="B35" s="1" t="str">
        <x:v>Auto_iIrrigation_events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 t="str">
        <x:v>! Definitions</x:v>
      </x:c>
      <x:c r="B36" s="1" t="str">
        <x:v>Irrigation, ending % avail, automatic application</x:v>
      </x:c>
      <x:c r="C36" s="1"/>
      <x:c r="D36" s="1" t="str">
        <x:v>Irrigation threshold water content for automatic application</x:v>
      </x:c>
      <x:c r="E36" s="1" t="str">
        <x:v>Irrigation amount, automatic application</x:v>
      </x:c>
      <x:c r="F36" s="1" t="str">
        <x:v>Date when automatic irrigation ends; use YYYY-MM-DD.</x:v>
      </x:c>
      <x:c r="G36" s="1" t="str">
        <x:v>Identifier of the automatic irrigation treatment associated with the event</x:v>
      </x:c>
      <x:c r="H36" s="1" t="str">
        <x:v>Date to begin automatic irrigation; use YYYY-MM-DD.</x:v>
      </x:c>
      <x:c r="I36" s="1" t="str">
        <x:v>date helper</x:v>
      </x:c>
      <x:c r="J36" s="1" t="str">
        <x:v>date helper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str">
        <x:v>! Units</x:v>
      </x:c>
      <x:c r="B37" s="1" t="str">
        <x:v>%</x:v>
      </x:c>
      <x:c r="C37" s="1"/>
      <x:c r="D37" s="1" t="str">
        <x:v>%</x:v>
      </x:c>
      <x:c r="E37" s="1" t="str">
        <x:v>mm</x:v>
      </x:c>
      <x:c r="F37" s="1" t="str">
        <x:v>date</x:v>
      </x:c>
      <x:c r="G37" s="1" t="str">
        <x:v>text</x:v>
      </x:c>
      <x:c r="H37" s="1" t="str">
        <x:v>date</x:v>
      </x:c>
      <x:c r="I37" s="1" t="str">
        <x:v>date helper</x:v>
      </x:c>
      <x:c r="J37" s="1" t="str">
        <x:v>date helper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2" t="str">
        <x:v>%</x:v>
      </x:c>
      <x:c r="B38" s="2" t="str">
        <x:v>irept</x:v>
      </x:c>
      <x:c r="C38" s="2"/>
      <x:c r="D38" s="2" t="str">
        <x:v> IRTHR </x:v>
      </x:c>
      <x:c r="E38" s="2" t="str">
        <x:v>IAMT</x:v>
      </x:c>
      <x:c r="F38" s="2" t="str">
        <x:v>au_aie2</x:v>
      </x:c>
      <x:c r="G38" s="2" t="str">
        <x:v>AUTO_AIE</x:v>
      </x:c>
      <x:c r="H38" s="2" t="str">
        <x:v>IADATE</x:v>
      </x:c>
      <x:c r="I38" s="2" t="str">
        <x:v>!YEAR</x:v>
      </x:c>
      <x:c r="J38" s="2" t="str">
        <x:v>!DOY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</x:row>
    <x:row r="39">
      <x:c r="A39" s="1" t="n">
        <x:v>23</x:v>
      </x:c>
      <x:c r="B39" s="1" t="n">
        <x:v>90</x:v>
      </x:c>
      <x:c r="C39" s="1"/>
      <x:c r="D39" s="1" t="n">
        <x:v>40</x:v>
      </x:c>
      <x:c r="E39" s="1"/>
      <x:c r="F39" s="1" t="str">
        <x:v>2023-5-9</x:v>
      </x:c>
      <x:c r="G39" s="1" t="str">
        <x:v>S0007</x:v>
      </x:c>
      <x:c r="H39" s="1" t="str">
        <x:v> 2023-04-05</x:v>
      </x:c>
      <x:c r="I39" s="1" t="n">
        <x:f>YEAR(DATE(2023,4,5))</x:f>
        <x:v>2023</x:v>
      </x:c>
      <x:c r="J39" s="1" t="n">
        <x:f>DATE(2023,4,5)-DATE(2023,1,1)+1</x:f>
        <x:v>95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 t="n">
        <x:v>41</x:v>
      </x:c>
      <x:c r="B40" s="1" t="n">
        <x:v>90</x:v>
      </x:c>
      <x:c r="C40" s="1"/>
      <x:c r="D40" s="1" t="n">
        <x:v>60</x:v>
      </x:c>
      <x:c r="E40" s="1"/>
      <x:c r="F40" s="3" t="d">
        <x:v>2024-06-19T00:00:00.000Z</x:v>
      </x:c>
      <x:c r="G40" s="1" t="str">
        <x:v>S0008</x:v>
      </x:c>
      <x:c r="H40" s="1" t="str">
        <x:v>24152</x:v>
      </x:c>
      <x:c r="I40" s="1" t="n">
        <x:f>YEAR(DATE(2024,5,31))</x:f>
        <x:v>2024</x:v>
      </x:c>
      <x:c r="J40" s="1" t="n">
        <x:f>DATE(2024,5,31)-DATE(2024,1,1)+1</x:f>
        <x:v>152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n">
        <x:v>59</x:v>
      </x:c>
      <x:c r="B41" s="1" t="n">
        <x:v>90</x:v>
      </x:c>
      <x:c r="C41" s="1"/>
      <x:c r="D41" s="1" t="n">
        <x:v>45</x:v>
      </x:c>
      <x:c r="E41" s="1"/>
      <x:c r="F41" s="1" t="str">
        <x:v>2025-7-11</x:v>
      </x:c>
      <x:c r="G41" s="1" t="str">
        <x:v>S0009</x:v>
      </x:c>
      <x:c r="H41" s="1" t="str">
        <x:v> 2025-06-22</x:v>
      </x:c>
      <x:c r="I41" s="1" t="n">
        <x:f>YEAR(DATE(2025,6,22))</x:f>
        <x:v>2025</x:v>
      </x:c>
      <x:c r="J41" s="1" t="n">
        <x:f>DATE(2025,6,22)-DATE(2025,1,1)+1</x:f>
        <x:v>173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 t="n">
        <x:v>77</x:v>
      </x:c>
      <x:c r="B42" s="1" t="n">
        <x:v>90</x:v>
      </x:c>
      <x:c r="C42" s="1"/>
      <x:c r="D42" s="1" t="n">
        <x:v>65</x:v>
      </x:c>
      <x:c r="E42" s="1"/>
      <x:c r="F42" s="3" t="d">
        <x:v>2026-05-17T00:00:00.000Z</x:v>
      </x:c>
      <x:c r="G42" s="1" t="str">
        <x:v>S0010</x:v>
      </x:c>
      <x:c r="H42" s="1" t="str">
        <x:v>26108</x:v>
      </x:c>
      <x:c r="I42" s="1" t="n">
        <x:f>YEAR(DATE(2026,4,18))</x:f>
        <x:v>2026</x:v>
      </x:c>
      <x:c r="J42" s="1" t="n">
        <x:f>DATE(2026,4,18)-DATE(2026,1,1)+1</x:f>
        <x:v>108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str">
        <x:v>! Section</x:v>
      </x:c>
      <x:c r="B44" s="1" t="str">
        <x:v>Auto_iIrrigation_treatments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str">
        <x:v>! Definitions</x:v>
      </x:c>
      <x:c r="B45" s="1" t="str">
        <x:v>Unique identifier for an automatic irrigation treatment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 t="str">
        <x:v>! Units</x:v>
      </x:c>
      <x:c r="B46" s="1" t="str">
        <x:v>text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2" t="str">
        <x:v>#</x:v>
      </x:c>
      <x:c r="B47" s="2" t="str">
        <x:v>AUTOIRRT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</x:row>
    <x:row r="48">
      <x:c r="A48" s="1" t="n">
        <x:v>23</x:v>
      </x:c>
      <x:c r="B48" s="1" t="str">
        <x:v>S0007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 t="n">
        <x:v>41</x:v>
      </x:c>
      <x:c r="B49" s="1" t="str">
        <x:v>S0008</x:v>
      </x:c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 t="n">
        <x:v>59</x:v>
      </x:c>
      <x:c r="B50" s="1" t="str">
        <x:v>S0009</x:v>
      </x:c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n">
        <x:v>77</x:v>
      </x:c>
      <x:c r="B51" s="1" t="str">
        <x:v>S0010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 t="str">
        <x:v>! Section</x:v>
      </x:c>
      <x:c r="B53" s="1" t="str">
        <x:v>Chemical_application_event</x:v>
      </x:c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 t="str">
        <x:v>! Definitions</x:v>
      </x:c>
      <x:c r="B54" s="1" t="str">
        <x:v>Chemicals application amount (active)</x:v>
      </x:c>
      <x:c r="C54" s="1"/>
      <x:c r="D54" s="1" t="str">
        <x:v>Chemicals application material</x:v>
      </x:c>
      <x:c r="E54" s="1" t="str">
        <x:v>Identifier of the chemical application treatment associated with the event</x:v>
      </x:c>
      <x:c r="F54" s="1" t="str">
        <x:v>Chemicals application date; use YYYY-MM-DD.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 t="str">
        <x:v>! Units</x:v>
      </x:c>
      <x:c r="B55" s="1" t="str">
        <x:v>kg/ha</x:v>
      </x:c>
      <x:c r="C55" s="1"/>
      <x:c r="D55" s="1" t="str">
        <x:v>code</x:v>
      </x:c>
      <x:c r="E55" s="1" t="str">
        <x:v>text</x:v>
      </x:c>
      <x:c r="F55" s="1" t="str">
        <x:v>date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2" t="str">
        <x:v>%</x:v>
      </x:c>
      <x:c r="B56" s="2" t="str">
        <x:v>CHAMT</x:v>
      </x:c>
      <x:c r="C56" s="2"/>
      <x:c r="D56" s="2" t="str">
        <x:v>chcd</x:v>
      </x:c>
      <x:c r="E56" s="2" t="str">
        <x:v>CHEMA_CE</x:v>
      </x:c>
      <x:c r="F56" s="2" t="str">
        <x:v>CDATE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</x:row>
    <x:row r="57">
      <x:c r="A57" s="1" t="n">
        <x:v>23</x:v>
      </x:c>
      <x:c r="B57" s="1" t="n">
        <x:v>0.6</x:v>
      </x:c>
      <x:c r="C57" s="1"/>
      <x:c r="D57" s="1" t="str">
        <x:v>CH008</x:v>
      </x:c>
      <x:c r="E57" s="1" t="str">
        <x:v>S0013</x:v>
      </x:c>
      <x:c r="F57" s="1" t="str">
        <x:v> 2023-03-10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 t="n">
        <x:v>41</x:v>
      </x:c>
      <x:c r="B58" s="1" t="n">
        <x:v>0.8</x:v>
      </x:c>
      <x:c r="C58" s="1"/>
      <x:c r="D58" s="1" t="str">
        <x:v>CH009</x:v>
      </x:c>
      <x:c r="E58" s="1" t="str">
        <x:v>S0014</x:v>
      </x:c>
      <x:c r="F58" s="1" t="str">
        <x:v>2024-5-10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 t="n">
        <x:v>59</x:v>
      </x:c>
      <x:c r="B59" s="1" t="n">
        <x:v>0.1</x:v>
      </x:c>
      <x:c r="C59" s="1"/>
      <x:c r="D59" s="1" t="str">
        <x:v>CH057</x:v>
      </x:c>
      <x:c r="E59" s="1" t="str">
        <x:v>S0015</x:v>
      </x:c>
      <x:c r="F59" s="1" t="str">
        <x:v>25147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 t="n">
        <x:v>77</x:v>
      </x:c>
      <x:c r="B60" s="1" t="n">
        <x:v>0.15</x:v>
      </x:c>
      <x:c r="C60" s="1"/>
      <x:c r="D60" s="1" t="str">
        <x:v>CH056</x:v>
      </x:c>
      <x:c r="E60" s="1" t="str">
        <x:v>S0016</x:v>
      </x:c>
      <x:c r="F60" s="3" t="d">
        <x:v>2026-04-22T00:00:00.000Z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 t="str">
        <x:v>! Section</x:v>
      </x:c>
      <x:c r="B62" s="1" t="str">
        <x:v>Chemical_application_treatments</x:v>
      </x:c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 t="str">
        <x:v>! Definitions</x:v>
      </x:c>
      <x:c r="B63" s="1" t="str">
        <x:v>Unique identifier for a chemical application treatment</x:v>
      </x:c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 t="str">
        <x:v>! Units</x:v>
      </x:c>
      <x:c r="B64" s="1" t="str">
        <x:v>text</x:v>
      </x:c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2" t="str">
        <x:v>#</x:v>
      </x:c>
      <x:c r="B65" s="2" t="str">
        <x:v>CHEMAPPT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</x:row>
    <x:row r="66">
      <x:c r="A66" s="1" t="n">
        <x:v>23</x:v>
      </x:c>
      <x:c r="B66" s="1" t="str">
        <x:v>S0013</x:v>
      </x:c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 t="n">
        <x:v>41</x:v>
      </x:c>
      <x:c r="B67" s="1" t="str">
        <x:v>S0014</x:v>
      </x:c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 t="n">
        <x:v>59</x:v>
      </x:c>
      <x:c r="B68" s="1" t="str">
        <x:v>S0015</x:v>
      </x:c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 t="n">
        <x:v>77</x:v>
      </x:c>
      <x:c r="B69" s="1" t="str">
        <x:v>S0016</x:v>
      </x:c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 t="str">
        <x:v>! Section</x:v>
      </x:c>
      <x:c r="B71" s="1" t="str">
        <x:v>Crop_observations_summary</x:v>
      </x:c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 t="str">
        <x:v>! Definitions</x:v>
      </x:c>
      <x:c r="B72" s="1" t="str">
        <x:v>N fixed during season</x:v>
      </x:c>
      <x:c r="C72" s="1"/>
      <x:c r="D72" s="1" t="str">
        <x:v>Phosphorus in above ground plant parts at maturity</x:v>
      </x:c>
      <x:c r="E72" s="1" t="str">
        <x:v>Grain N concentration at maturity</x:v>
      </x:c>
      <x:c r="F72" s="1" t="str">
        <x:v>Harvest index at maturity</x:v>
      </x:c>
      <x:c r="G72" s="1" t="str">
        <x:v>Tiller number per area at maturity</x:v>
      </x:c>
      <x:c r="H72" s="1" t="str">
        <x:v>Panicle number per area at maturity</x:v>
      </x:c>
      <x:c r="I72" s="1" t="str">
        <x:v>Pod, ear, panicle number per area at maturity</x:v>
      </x:c>
      <x:c r="J72" s="1" t="str">
        <x:v>Plant height (e.g., including spikes above canopy per se), maximum value in season</x:v>
      </x:c>
      <x:c r="K72" s="1" t="str">
        <x:v>Grain dry wt at maturity</x:v>
      </x:c>
      <x:c r="L72" s="1" t="str">
        <x:v>Tops dry weight at anthesis</x:v>
      </x:c>
      <x:c r="M72" s="1" t="str">
        <x:v>Grain starch concentration at maturity</x:v>
      </x:c>
      <x:c r="N72" s="1" t="str">
        <x:v>Grain protein concentration at maturity</x:v>
      </x:c>
      <x:c r="O72" s="1" t="str">
        <x:v>Grain oil concentration at maturity</x:v>
      </x:c>
      <x:c r="P72" s="1" t="str">
        <x:v>Leaf area index, maximum</x:v>
      </x:c>
      <x:c r="Q72" s="1" t="str">
        <x:v>Tops dry weight at harvest</x:v>
      </x:c>
      <x:c r="R72" s="1" t="str">
        <x:v>Growth stage, silking date; use YYYY-MM-DD.</x:v>
      </x:c>
      <x:c r="S72" s="1" t="str">
        <x:v>Growth stage date, harvest; use YYYY-MM-DD.</x:v>
      </x:c>
      <x:c r="T72" s="1" t="str">
        <x:v>Growth stage of physiol. maturity, as date; use YYYY-MM-DD.</x:v>
      </x:c>
      <x:c r="U7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V72" s="1" t="str">
        <x:v>Growth stage date, anthesis; use YYYY-MM-DD.</x:v>
      </x:c>
      <x:c r="W72" s="1"/>
      <x:c r="X72" s="1"/>
      <x:c r="Y72" s="1"/>
      <x:c r="Z72" s="1"/>
      <x:c r="AA72" s="1"/>
      <x:c r="AB72" s="1"/>
      <x:c r="AC72" s="1"/>
    </x:row>
    <x:row r="73">
      <x:c r="A73" s="1" t="str">
        <x:v>! Units</x:v>
      </x:c>
      <x:c r="B73" s="1" t="str">
        <x:v>kg/ha</x:v>
      </x:c>
      <x:c r="C73" s="1"/>
      <x:c r="D73" s="1" t="str">
        <x:v>kg/ha</x:v>
      </x:c>
      <x:c r="E73" s="1" t="str">
        <x:v>%</x:v>
      </x:c>
      <x:c r="F73" s="1" t="str">
        <x:v>unitless</x:v>
      </x:c>
      <x:c r="G73" s="1" t="str">
        <x:v>number/m2</x:v>
      </x:c>
      <x:c r="H73" s="1" t="str">
        <x:v>number/m2</x:v>
      </x:c>
      <x:c r="I73" s="1" t="str">
        <x:v>number/m2</x:v>
      </x:c>
      <x:c r="J73" s="1" t="str">
        <x:v>m</x:v>
      </x:c>
      <x:c r="K73" s="1" t="str">
        <x:v>kg/ha</x:v>
      </x:c>
      <x:c r="L73" s="1" t="str">
        <x:v>kg/ha</x:v>
      </x:c>
      <x:c r="M73" s="1" t="str">
        <x:v>%</x:v>
      </x:c>
      <x:c r="N73" s="1" t="str">
        <x:v>%</x:v>
      </x:c>
      <x:c r="O73" s="1" t="str">
        <x:v>%</x:v>
      </x:c>
      <x:c r="P73" s="1" t="str">
        <x:v>m2/m2</x:v>
      </x:c>
      <x:c r="Q73" s="1" t="str">
        <x:v>kg/ha</x:v>
      </x:c>
      <x:c r="R73" s="1" t="str">
        <x:v>date</x:v>
      </x:c>
      <x:c r="S73" s="1" t="str">
        <x:v>date</x:v>
      </x:c>
      <x:c r="T73" s="1" t="str">
        <x:v>date</x:v>
      </x:c>
      <x:c r="U73" s="1" t="str">
        <x:v>text</x:v>
      </x:c>
      <x:c r="V73" s="1" t="str">
        <x:v>date</x:v>
      </x:c>
      <x:c r="W73" s="1"/>
      <x:c r="X73" s="1"/>
      <x:c r="Y73" s="1"/>
      <x:c r="Z73" s="1"/>
      <x:c r="AA73" s="1"/>
      <x:c r="AB73" s="1"/>
      <x:c r="AC73" s="1"/>
    </x:row>
    <x:row r="74">
      <x:c r="A74" s="2" t="str">
        <x:v>%</x:v>
      </x:c>
      <x:c r="B74" s="2" t="str">
        <x:v> NFXM </x:v>
      </x:c>
      <x:c r="C74" s="2"/>
      <x:c r="D74" s="2" t="str">
        <x:v>CPAM</x:v>
      </x:c>
      <x:c r="E74" s="2" t="str">
        <x:v>gn%m</x:v>
      </x:c>
      <x:c r="F74" s="2" t="str">
        <x:v>HIAM</x:v>
      </x:c>
      <x:c r="G74" s="2" t="str">
        <x:v>T#AM</x:v>
      </x:c>
      <x:c r="H74" s="2" t="str">
        <x:v> pn#am </x:v>
      </x:c>
      <x:c r="I74" s="2" t="str">
        <x:v>DP#AM</x:v>
      </x:c>
      <x:c r="J74" s="2" t="str">
        <x:v>PHTX</x:v>
      </x:c>
      <x:c r="K74" s="2" t="str">
        <x:v>gwam</x:v>
      </x:c>
      <x:c r="L74" s="2" t="str">
        <x:v>CWAA</x:v>
      </x:c>
      <x:c r="M74" s="2" t="str">
        <x:v> GS%M </x:v>
      </x:c>
      <x:c r="N74" s="2" t="str">
        <x:v>gpr%m</x:v>
      </x:c>
      <x:c r="O74" s="2" t="str">
        <x:v>GL%M</x:v>
      </x:c>
      <x:c r="P74" s="2" t="str">
        <x:v>LAIX</x:v>
      </x:c>
      <x:c r="Q74" s="2" t="str">
        <x:v>cwah</x:v>
      </x:c>
      <x:c r="R74" s="2" t="str">
        <x:v> SKDAT </x:v>
      </x:c>
      <x:c r="S74" s="2" t="str">
        <x:v>HDATE</x:v>
      </x:c>
      <x:c r="T74" s="2" t="str">
        <x:v>mdat</x:v>
      </x:c>
      <x:c r="U74" s="2" t="str">
        <x:v>GRPPL_CO</x:v>
      </x:c>
      <x:c r="V74" s="2" t="str">
        <x:v>ADAT</x:v>
      </x:c>
      <x:c r="W74" s="2"/>
      <x:c r="X74" s="2"/>
      <x:c r="Y74" s="2"/>
      <x:c r="Z74" s="2"/>
      <x:c r="AA74" s="2"/>
      <x:c r="AB74" s="2"/>
      <x:c r="AC74" s="2"/>
    </x:row>
    <x:row r="75">
      <x:c r="A75" s="1" t="n">
        <x:v>11</x:v>
      </x:c>
      <x:c r="B75" s="1"/>
      <x:c r="C75" s="1"/>
      <x:c r="D75" s="1" t="n">
        <x:v>23.32</x:v>
      </x:c>
      <x:c r="E75" s="1"/>
      <x:c r="F75" s="1" t="n">
        <x:v>0.44</x:v>
      </x:c>
      <x:c r="G75" s="1" t="n">
        <x:v>350</x:v>
      </x:c>
      <x:c r="H75" s="1"/>
      <x:c r="I75" s="1"/>
      <x:c r="J75" s="1"/>
      <x:c r="K75" s="1" t="n">
        <x:v>11660</x:v>
      </x:c>
      <x:c r="L75" s="1" t="n">
        <x:v>5703</x:v>
      </x:c>
      <x:c r="M75" s="1"/>
      <x:c r="N75" s="1" t="n">
        <x:v>10.5</x:v>
      </x:c>
      <x:c r="O75" s="1" t="str">
        <x:v>-99</x:v>
      </x:c>
      <x:c r="P75" s="1" t="n">
        <x:v>4.77</x:v>
      </x:c>
      <x:c r="Q75" s="1" t="n">
        <x:v>5130</x:v>
      </x:c>
      <x:c r="R75" s="1"/>
      <x:c r="S75" s="1" t="str">
        <x:v>23189</x:v>
      </x:c>
      <x:c r="T75" s="1" t="str">
        <x:v>2023-6-28</x:v>
      </x:c>
      <x:c r="U75" s="1" t="str">
        <x:v>11</x:v>
      </x:c>
      <x:c r="V75" s="1" t="str">
        <x:v> 2023-05-21</x:v>
      </x:c>
      <x:c r="W75" s="1"/>
      <x:c r="X75" s="1"/>
      <x:c r="Y75" s="1"/>
      <x:c r="Z75" s="1"/>
      <x:c r="AA75" s="1"/>
      <x:c r="AB75" s="1"/>
      <x:c r="AC75" s="1"/>
    </x:row>
    <x:row r="76">
      <x:c r="A76" s="1" t="n">
        <x:v>29</x:v>
      </x:c>
      <x:c r="B76" s="1"/>
      <x:c r="C76" s="1"/>
      <x:c r="D76" s="1" t="str">
        <x:v>-99.0</x:v>
      </x:c>
      <x:c r="E76" s="1" t="n">
        <x:v>1.9</x:v>
      </x:c>
      <x:c r="F76" s="1"/>
      <x:c r="G76" s="1"/>
      <x:c r="H76" s="1" t="str">
        <x:v>-99.0</x:v>
      </x:c>
      <x:c r="I76" s="1"/>
      <x:c r="J76" s="1" t="n">
        <x:v>2.407</x:v>
      </x:c>
      <x:c r="K76" s="1" t="str">
        <x:v>-99</x:v>
      </x:c>
      <x:c r="L76" s="1"/>
      <x:c r="M76" s="1" t="n">
        <x:v>69.5</x:v>
      </x:c>
      <x:c r="N76" s="1"/>
      <x:c r="O76" s="1"/>
      <x:c r="P76" s="1" t="n">
        <x:v>5.83</x:v>
      </x:c>
      <x:c r="Q76" s="1" t="n">
        <x:v>19080</x:v>
      </x:c>
      <x:c r="R76" s="1" t="str">
        <x:v> 2024-07-09</x:v>
      </x:c>
      <x:c r="S76" s="3" t="d">
        <x:v>2024-08-28T00:00:00.000Z</x:v>
      </x:c>
      <x:c r="T76" s="1"/>
      <x:c r="U76" s="1" t="str">
        <x:v>29</x:v>
      </x:c>
      <x:c r="V76" s="1"/>
      <x:c r="W76" s="1"/>
      <x:c r="X76" s="1"/>
      <x:c r="Y76" s="1"/>
      <x:c r="Z76" s="1"/>
      <x:c r="AA76" s="1"/>
      <x:c r="AB76" s="1"/>
      <x:c r="AC76" s="1"/>
    </x:row>
    <x:row r="77">
      <x:c r="A77" s="1" t="n">
        <x:v>47</x:v>
      </x:c>
      <x:c r="B77" s="1" t="n">
        <x:v>95</x:v>
      </x:c>
      <x:c r="C77" s="1"/>
      <x:c r="D77" s="1" t="n">
        <x:v>16.96</x:v>
      </x:c>
      <x:c r="E77" s="1"/>
      <x:c r="F77" s="1" t="n">
        <x:v>0.38</x:v>
      </x:c>
      <x:c r="G77" s="1"/>
      <x:c r="H77" s="1"/>
      <x:c r="I77" s="1" t="n">
        <x:v>636</x:v>
      </x:c>
      <x:c r="J77" s="1"/>
      <x:c r="K77" s="1" t="n">
        <x:v>3222</x:v>
      </x:c>
      <x:c r="L77" s="1" t="n">
        <x:v>4148</x:v>
      </x:c>
      <x:c r="M77" s="1"/>
      <x:c r="N77" s="1"/>
      <x:c r="O77" s="1" t="n">
        <x:v>20.1</x:v>
      </x:c>
      <x:c r="P77" s="1" t="n">
        <x:v>4.45</x:v>
      </x:c>
      <x:c r="Q77" s="1"/>
      <x:c r="R77" s="1"/>
      <x:c r="S77" s="1"/>
      <x:c r="T77" s="1" t="str">
        <x:v>25232</x:v>
      </x:c>
      <x:c r="U77" s="1" t="str">
        <x:v>47</x:v>
      </x:c>
      <x:c r="V77" s="1" t="str">
        <x:v>2025-7-17</x:v>
      </x:c>
      <x:c r="W77" s="1"/>
      <x:c r="X77" s="1"/>
      <x:c r="Y77" s="1"/>
      <x:c r="Z77" s="1"/>
      <x:c r="AA77" s="1"/>
      <x:c r="AB77" s="1"/>
      <x:c r="AC77" s="1"/>
    </x:row>
    <x:row r="78">
      <x:c r="A78" s="1" t="n">
        <x:v>65</x:v>
      </x:c>
      <x:c r="B78" s="1"/>
      <x:c r="C78" s="1"/>
      <x:c r="D78" s="1"/>
      <x:c r="E78" s="1" t="n">
        <x:v>1.8</x:v>
      </x:c>
      <x:c r="F78" s="1"/>
      <x:c r="G78" s="1"/>
      <x:c r="H78" s="1"/>
      <x:c r="I78" s="1"/>
      <x:c r="J78" s="1" t="n">
        <x:v>0.903</x:v>
      </x:c>
      <x:c r="K78" s="1" t="n">
        <x:v>4330</x:v>
      </x:c>
      <x:c r="L78" s="1"/>
      <x:c r="M78" s="1"/>
      <x:c r="N78" s="1" t="n">
        <x:v>11.4</x:v>
      </x:c>
      <x:c r="O78" s="1"/>
      <x:c r="P78" s="1" t="n">
        <x:v>4.24</x:v>
      </x:c>
      <x:c r="Q78" s="1" t="n">
        <x:v>10070</x:v>
      </x:c>
      <x:c r="R78" s="1"/>
      <x:c r="S78" s="1" t="str">
        <x:v> 2026-07-21</x:v>
      </x:c>
      <x:c r="T78" s="3" t="d">
        <x:v>2026-07-11T00:00:00.000Z</x:v>
      </x:c>
      <x:c r="U78" s="1" t="str">
        <x:v>65</x:v>
      </x:c>
      <x:c r="V78" s="1"/>
      <x:c r="W78" s="1"/>
      <x:c r="X78" s="1"/>
      <x:c r="Y78" s="1"/>
      <x:c r="Z78" s="1"/>
      <x:c r="AA78" s="1"/>
      <x:c r="AB78" s="1"/>
      <x:c r="AC78" s="1"/>
    </x:row>
    <x:row r="79">
      <x:c r="A79" s="1" t="n">
        <x:v>17</x:v>
      </x:c>
      <x:c r="B79" s="1" t="str">
        <x:v>-99.0</x:v>
      </x:c>
      <x:c r="C79" s="1"/>
      <x:c r="D79" s="1" t="n">
        <x:v>22.66</x:v>
      </x:c>
      <x:c r="E79" s="1" t="str">
        <x:v>-99</x:v>
      </x:c>
      <x:c r="F79" s="1" t="n">
        <x:v>0.44</x:v>
      </x:c>
      <x:c r="G79" s="1" t="n">
        <x:v>340</x:v>
      </x:c>
      <x:c r="H79" s="1"/>
      <x:c r="I79" s="1"/>
      <x:c r="J79" s="1"/>
      <x:c r="K79" s="1"/>
      <x:c r="L79" s="1" t="n">
        <x:v>5542</x:v>
      </x:c>
      <x:c r="M79" s="1"/>
      <x:c r="N79" s="1" t="n">
        <x:v>11.7</x:v>
      </x:c>
      <x:c r="O79" s="1"/>
      <x:c r="P79" s="1" t="n">
        <x:v>4.63</x:v>
      </x:c>
      <x:c r="Q79" s="1" t="n">
        <x:v>11330</x:v>
      </x:c>
      <x:c r="R79" s="1"/>
      <x:c r="S79" s="1" t="str">
        <x:v>23189</x:v>
      </x:c>
      <x:c r="T79" s="1"/>
      <x:c r="U79" s="1" t="str">
        <x:v>17</x:v>
      </x:c>
      <x:c r="V79" s="1" t="str">
        <x:v>2023-5-21</x:v>
      </x:c>
      <x:c r="W79" s="1"/>
      <x:c r="X79" s="1"/>
      <x:c r="Y79" s="1"/>
      <x:c r="Z79" s="1"/>
      <x:c r="AA79" s="1"/>
      <x:c r="AB79" s="1"/>
      <x:c r="AC79" s="1"/>
    </x:row>
    <x:row r="80">
      <x:c r="A80" s="1" t="n">
        <x:v>35</x:v>
      </x:c>
      <x:c r="B80" s="1"/>
      <x:c r="C80" s="1"/>
      <x:c r="D80" s="1" t="str">
        <x:v>-99</x:v>
      </x:c>
      <x:c r="E80" s="1" t="n">
        <x:v>2</x:v>
      </x:c>
      <x:c r="F80" s="1"/>
      <x:c r="G80" s="1"/>
      <x:c r="H80" s="1" t="str">
        <x:v>-99</x:v>
      </x:c>
      <x:c r="I80" s="1" t="str">
        <x:v>-99.0</x:v>
      </x:c>
      <x:c r="J80" s="1" t="n">
        <x:v>2.404</x:v>
      </x:c>
      <x:c r="K80" s="1" t="n">
        <x:v>8899</x:v>
      </x:c>
      <x:c r="L80" s="1" t="str">
        <x:v>-99</x:v>
      </x:c>
      <x:c r="M80" s="1" t="n">
        <x:v>71.5</x:v>
      </x:c>
      <x:c r="N80" s="1"/>
      <x:c r="O80" s="1"/>
      <x:c r="P80" s="1" t="n">
        <x:v>5.67</x:v>
      </x:c>
      <x:c r="Q80" s="1"/>
      <x:c r="R80" s="1" t="str">
        <x:v> 2024-07-09</x:v>
      </x:c>
      <x:c r="S80" s="1"/>
      <x:c r="T80" s="3" t="d">
        <x:v>2024-08-18T00:00:00.000Z</x:v>
      </x:c>
      <x:c r="U80" s="1" t="str">
        <x:v>35</x:v>
      </x:c>
      <x:c r="V80" s="1"/>
      <x:c r="W80" s="1"/>
      <x:c r="X80" s="1"/>
      <x:c r="Y80" s="1"/>
      <x:c r="Z80" s="1"/>
      <x:c r="AA80" s="1"/>
      <x:c r="AB80" s="1"/>
      <x:c r="AC80" s="1"/>
    </x:row>
    <x:row r="81">
      <x:c r="A81" s="1" t="n">
        <x:v>53</x:v>
      </x:c>
      <x:c r="B81" s="1" t="n">
        <x:v>93</x:v>
      </x:c>
      <x:c r="C81" s="1"/>
      <x:c r="D81" s="1" t="n">
        <x:v>16.48</x:v>
      </x:c>
      <x:c r="E81" s="1"/>
      <x:c r="F81" s="1" t="n">
        <x:v>0.38</x:v>
      </x:c>
      <x:c r="G81" s="1"/>
      <x:c r="H81" s="1" t="str">
        <x:v>-99</x:v>
      </x:c>
      <x:c r="I81" s="1" t="n">
        <x:v>618</x:v>
      </x:c>
      <x:c r="J81" s="1"/>
      <x:c r="K81" s="1" t="n">
        <x:v>3131</x:v>
      </x:c>
      <x:c r="L81" s="1" t="n">
        <x:v>4030</x:v>
      </x:c>
      <x:c r="M81" s="1"/>
      <x:c r="N81" s="1" t="str">
        <x:v>-99.0</x:v>
      </x:c>
      <x:c r="O81" s="1" t="n">
        <x:v>20.3</x:v>
      </x:c>
      <x:c r="P81" s="1" t="n">
        <x:v>4.33</x:v>
      </x:c>
      <x:c r="Q81" s="1" t="n">
        <x:v>8240</x:v>
      </x:c>
      <x:c r="R81" s="1"/>
      <x:c r="S81" s="3" t="d">
        <x:v>2025-08-30T00:00:00.000Z</x:v>
      </x:c>
      <x:c r="T81" s="1" t="str">
        <x:v>25232</x:v>
      </x:c>
      <x:c r="U81" s="1" t="str">
        <x:v>53</x:v>
      </x:c>
      <x:c r="V81" s="1" t="str">
        <x:v>2025-7-17</x:v>
      </x:c>
      <x:c r="W81" s="1"/>
      <x:c r="X81" s="1"/>
      <x:c r="Y81" s="1"/>
      <x:c r="Z81" s="1"/>
      <x:c r="AA81" s="1"/>
      <x:c r="AB81" s="1"/>
      <x:c r="AC81" s="1"/>
    </x:row>
    <x:row r="82">
      <x:c r="A82" s="1" t="n">
        <x:v>71</x:v>
      </x:c>
      <x:c r="B82" s="1"/>
      <x:c r="C82" s="1"/>
      <x:c r="D82" s="1"/>
      <x:c r="E82" s="1" t="n">
        <x:v>1.9</x:v>
      </x:c>
      <x:c r="F82" s="1"/>
      <x:c r="G82" s="1"/>
      <x:c r="H82" s="1"/>
      <x:c r="I82" s="1"/>
      <x:c r="J82" s="1" t="n">
        <x:v>0.901</x:v>
      </x:c>
      <x:c r="K82" s="1" t="str">
        <x:v>-99.0</x:v>
      </x:c>
      <x:c r="L82" s="1"/>
      <x:c r="M82" s="1" t="str">
        <x:v>-99.0</x:v>
      </x:c>
      <x:c r="N82" s="1" t="n">
        <x:v>10.8</x:v>
      </x:c>
      <x:c r="O82" s="1"/>
      <x:c r="P82" s="1" t="n">
        <x:v>4.12</x:v>
      </x:c>
      <x:c r="Q82" s="1" t="n">
        <x:v>9785</x:v>
      </x:c>
      <x:c r="R82" s="1"/>
      <x:c r="S82" s="1" t="str">
        <x:v> 2026-07-21</x:v>
      </x:c>
      <x:c r="T82" s="1"/>
      <x:c r="U82" s="1" t="str">
        <x:v>71</x:v>
      </x:c>
      <x:c r="V82" s="1" t="str">
        <x:v>-99</x:v>
      </x:c>
      <x:c r="W82" s="1"/>
      <x:c r="X82" s="1"/>
      <x:c r="Y82" s="1"/>
      <x:c r="Z82" s="1"/>
      <x:c r="AA82" s="1"/>
      <x:c r="AB82" s="1"/>
      <x:c r="AC82" s="1"/>
    </x:row>
    <x:row r="83">
      <x:c r="A83" s="1" t="n">
        <x:v>23</x:v>
      </x:c>
      <x:c r="B83" s="1" t="str">
        <x:v>-99</x:v>
      </x:c>
      <x:c r="C83" s="1"/>
      <x:c r="D83" s="1" t="n">
        <x:v>21.12</x:v>
      </x:c>
      <x:c r="E83" s="1"/>
      <x:c r="F83" s="1" t="n">
        <x:v>0.44</x:v>
      </x:c>
      <x:c r="G83" s="1" t="n">
        <x:v>317</x:v>
      </x:c>
      <x:c r="H83" s="1"/>
      <x:c r="I83" s="1" t="str">
        <x:v>-99.0</x:v>
      </x:c>
      <x:c r="J83" s="1"/>
      <x:c r="K83" s="1" t="n">
        <x:v>4646</x:v>
      </x:c>
      <x:c r="L83" s="1" t="n">
        <x:v>5165</x:v>
      </x:c>
      <x:c r="M83" s="1"/>
      <x:c r="N83" s="1" t="n">
        <x:v>11.1</x:v>
      </x:c>
      <x:c r="O83" s="1"/>
      <x:c r="P83" s="1" t="n">
        <x:v>4.32</x:v>
      </x:c>
      <x:c r="Q83" s="1"/>
      <x:c r="R83" s="1" t="str">
        <x:v>-99</x:v>
      </x:c>
      <x:c r="S83" s="1"/>
      <x:c r="T83" s="1" t="str">
        <x:v>23179</x:v>
      </x:c>
      <x:c r="U83" s="1" t="str">
        <x:v>23</x:v>
      </x:c>
      <x:c r="V83" s="1" t="str">
        <x:v>2023-5-21</x:v>
      </x:c>
      <x:c r="W83" s="1"/>
      <x:c r="X83" s="1"/>
      <x:c r="Y83" s="1"/>
      <x:c r="Z83" s="1"/>
      <x:c r="AA83" s="1"/>
      <x:c r="AB83" s="1"/>
      <x:c r="AC83" s="1"/>
    </x:row>
    <x:row r="84">
      <x:c r="A84" s="1" t="n">
        <x:v>41</x:v>
      </x:c>
      <x:c r="B84" s="1"/>
      <x:c r="C84" s="1"/>
      <x:c r="D84" s="1"/>
      <x:c r="E84" s="1" t="n">
        <x:v>1.8</x:v>
      </x:c>
      <x:c r="F84" s="1"/>
      <x:c r="G84" s="1"/>
      <x:c r="H84" s="1"/>
      <x:c r="I84" s="1"/>
      <x:c r="J84" s="1" t="n">
        <x:v>2.395</x:v>
      </x:c>
      <x:c r="K84" s="1" t="n">
        <x:v>8294</x:v>
      </x:c>
      <x:c r="L84" s="1"/>
      <x:c r="M84" s="1" t="n">
        <x:v>70.5</x:v>
      </x:c>
      <x:c r="N84" s="1"/>
      <x:c r="O84" s="1"/>
      <x:c r="P84" s="1" t="n">
        <x:v>5.28</x:v>
      </x:c>
      <x:c r="Q84" s="1" t="n">
        <x:v>17280</x:v>
      </x:c>
      <x:c r="R84" s="1" t="str">
        <x:v>2024-7-9</x:v>
      </x:c>
      <x:c r="S84" s="1" t="str">
        <x:v> 2024-08-28</x:v>
      </x:c>
      <x:c r="T84" s="3" t="d">
        <x:v>2024-08-18T00:00:00.000Z</x:v>
      </x:c>
      <x:c r="U84" s="1" t="str">
        <x:v>41</x:v>
      </x:c>
      <x:c r="V84" s="1"/>
      <x:c r="W84" s="1"/>
      <x:c r="X84" s="1"/>
      <x:c r="Y84" s="1"/>
      <x:c r="Z84" s="1"/>
      <x:c r="AA84" s="1"/>
      <x:c r="AB84" s="1"/>
      <x:c r="AC84" s="1"/>
    </x:row>
    <x:row r="85">
      <x:c r="A85" s="1" t="n">
        <x:v>59</x:v>
      </x:c>
      <x:c r="B85" s="1" t="n">
        <x:v>86</x:v>
      </x:c>
      <x:c r="C85" s="1"/>
      <x:c r="D85" s="1" t="n">
        <x:v>15.36</x:v>
      </x:c>
      <x:c r="E85" s="1"/>
      <x:c r="F85" s="1" t="n">
        <x:v>0.38</x:v>
      </x:c>
      <x:c r="G85" s="1"/>
      <x:c r="H85" s="1"/>
      <x:c r="I85" s="1" t="n">
        <x:v>576</x:v>
      </x:c>
      <x:c r="J85" s="1"/>
      <x:c r="K85" s="1" t="str">
        <x:v>-99.0</x:v>
      </x:c>
      <x:c r="L85" s="1" t="n">
        <x:v>3756</x:v>
      </x:c>
      <x:c r="M85" s="1"/>
      <x:c r="N85" s="1" t="str">
        <x:v>-99</x:v>
      </x:c>
      <x:c r="O85" s="1" t="n">
        <x:v>20.5</x:v>
      </x:c>
      <x:c r="P85" s="1" t="n">
        <x:v>4.03</x:v>
      </x:c>
      <x:c r="Q85" s="1" t="n">
        <x:v>7680</x:v>
      </x:c>
      <x:c r="R85" s="1"/>
      <x:c r="S85" s="3" t="d">
        <x:v>2025-08-30T00:00:00.000Z</x:v>
      </x:c>
      <x:c r="T85" s="1"/>
      <x:c r="U85" s="1" t="str">
        <x:v>59</x:v>
      </x:c>
      <x:c r="V85" s="1" t="str">
        <x:v>25198</x:v>
      </x:c>
      <x:c r="W85" s="1"/>
      <x:c r="X85" s="1"/>
      <x:c r="Y85" s="1"/>
      <x:c r="Z85" s="1"/>
      <x:c r="AA85" s="1"/>
      <x:c r="AB85" s="1"/>
      <x:c r="AC85" s="1"/>
    </x:row>
    <x:row r="86">
      <x:c r="A86" s="1" t="n">
        <x:v>77</x:v>
      </x:c>
      <x:c r="B86" s="1"/>
      <x:c r="C86" s="1"/>
      <x:c r="D86" s="1"/>
      <x:c r="E86" s="1" t="n">
        <x:v>2</x:v>
      </x:c>
      <x:c r="F86" s="1"/>
      <x:c r="G86" s="1"/>
      <x:c r="H86" s="1"/>
      <x:c r="I86" s="1" t="str">
        <x:v>-99.0</x:v>
      </x:c>
      <x:c r="J86" s="1" t="n">
        <x:v>0.898</x:v>
      </x:c>
      <x:c r="K86" s="1" t="n">
        <x:v>3922</x:v>
      </x:c>
      <x:c r="L86" s="1"/>
      <x:c r="M86" s="1"/>
      <x:c r="N86" s="1" t="n">
        <x:v>12</x:v>
      </x:c>
      <x:c r="O86" s="1"/>
      <x:c r="P86" s="1" t="n">
        <x:v>3.84</x:v>
      </x:c>
      <x:c r="Q86" s="1"/>
      <x:c r="R86" s="1"/>
      <x:c r="S86" s="1"/>
      <x:c r="T86" s="1" t="str">
        <x:v> 2026-07-11</x:v>
      </x:c>
      <x:c r="U86" s="1" t="str">
        <x:v>77</x:v>
      </x:c>
      <x:c r="V86" s="1"/>
      <x:c r="W86" s="1"/>
      <x:c r="X86" s="1"/>
      <x:c r="Y86" s="1"/>
      <x:c r="Z86" s="1"/>
      <x:c r="AA86" s="1"/>
      <x:c r="AB86" s="1"/>
      <x:c r="AC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 t="str">
        <x:v>! Section</x:v>
      </x:c>
      <x:c r="B88" s="1" t="str">
        <x:v>Crop_observations_timeseries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 t="str">
        <x:v>! Definitions</x:v>
      </x:c>
      <x:c r="B89" s="1" t="str">
        <x:v>Date of measurement; use YYYY-MM-DD.</x:v>
      </x:c>
      <x:c r="C89" s="1"/>
      <x:c r="D89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89" s="1" t="str">
        <x:v>Canopy height</x:v>
      </x:c>
      <x:c r="F89" s="1" t="str">
        <x:v>Plant_height (e.g., including spikes above canopy per se)</x:v>
      </x:c>
      <x:c r="G89" s="1" t="str">
        <x:v>Dry weight of above-ground parts</x:v>
      </x:c>
      <x:c r="H89" s="1" t="str">
        <x:v>Grain dry weight</x:v>
      </x:c>
      <x:c r="I89" s="1" t="str">
        <x:v>Leaf dry weight</x:v>
      </x:c>
      <x:c r="J89" s="1" t="str">
        <x:v>Root dry weight</x:v>
      </x:c>
      <x:c r="K89" s="1" t="str">
        <x:v>Stem dry weight</x:v>
      </x:c>
      <x:c r="L89" s="1" t="str">
        <x:v>Root depth, maximum extent at date</x:v>
      </x:c>
      <x:c r="M89" s="1" t="str">
        <x:v>Leaf area index on a given day</x:v>
      </x:c>
      <x:c r="N89" s="1" t="str">
        <x:v>Leaf number per main stem</x:v>
      </x:c>
      <x:c r="O89" s="1" t="str">
        <x:v>Plant density on sampling date</x:v>
      </x:c>
      <x:c r="P89" s="1" t="str">
        <x:v>Leaf N concentration</x:v>
      </x:c>
      <x:c r="Q89" s="1" t="str">
        <x:v>Nitrogen in above ground plant parts</x:v>
      </x:c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 t="str">
        <x:v>! Units</x:v>
      </x:c>
      <x:c r="B90" s="1" t="str">
        <x:v>date</x:v>
      </x:c>
      <x:c r="C90" s="1"/>
      <x:c r="D90" s="1" t="str">
        <x:v>text</x:v>
      </x:c>
      <x:c r="E90" s="1" t="str">
        <x:v>m</x:v>
      </x:c>
      <x:c r="F90" s="1" t="str">
        <x:v>m</x:v>
      </x:c>
      <x:c r="G90" s="1" t="str">
        <x:v>kg/ha</x:v>
      </x:c>
      <x:c r="H90" s="1" t="str">
        <x:v>kg/ha</x:v>
      </x:c>
      <x:c r="I90" s="1" t="str">
        <x:v>kg/ha</x:v>
      </x:c>
      <x:c r="J90" s="1" t="str">
        <x:v>kg/ha</x:v>
      </x:c>
      <x:c r="K90" s="1" t="str">
        <x:v>kg/ha</x:v>
      </x:c>
      <x:c r="L90" s="1" t="str">
        <x:v>m</x:v>
      </x:c>
      <x:c r="M90" s="1" t="str">
        <x:v>m2/m2</x:v>
      </x:c>
      <x:c r="N90" s="1" t="str">
        <x:v>number</x:v>
      </x:c>
      <x:c r="O90" s="1" t="str">
        <x:v>number/m2</x:v>
      </x:c>
      <x:c r="P90" s="1" t="str">
        <x:v>%</x:v>
      </x:c>
      <x:c r="Q90" s="1" t="str">
        <x:v>kg[N]/ha</x:v>
      </x:c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2" t="str">
        <x:v>%</x:v>
      </x:c>
      <x:c r="B91" s="2" t="str">
        <x:v>DATE</x:v>
      </x:c>
      <x:c r="C91" s="2"/>
      <x:c r="D91" s="2" t="str">
        <x:v>GRPPL_CO</x:v>
      </x:c>
      <x:c r="E91" s="2" t="str">
        <x:v>cktd</x:v>
      </x:c>
      <x:c r="F91" s="2" t="str">
        <x:v>PHTD</x:v>
      </x:c>
      <x:c r="G91" s="2" t="str">
        <x:v> CWAD </x:v>
      </x:c>
      <x:c r="H91" s="2" t="str">
        <x:v>gwad</x:v>
      </x:c>
      <x:c r="I91" s="2" t="str">
        <x:v>LWAD</x:v>
      </x:c>
      <x:c r="J91" s="2" t="str">
        <x:v>RWAD</x:v>
      </x:c>
      <x:c r="K91" s="2" t="str">
        <x:v>swfd</x:v>
      </x:c>
      <x:c r="L91" s="2" t="str">
        <x:v> RDPD </x:v>
      </x:c>
      <x:c r="M91" s="2" t="str">
        <x:v>LAID</x:v>
      </x:c>
      <x:c r="N91" s="2" t="str">
        <x:v>l#sd</x:v>
      </x:c>
      <x:c r="O91" s="2" t="str">
        <x:v>PLPAD</x:v>
      </x:c>
      <x:c r="P91" s="2" t="str">
        <x:v>LN%D</x:v>
      </x:c>
      <x:c r="Q91" s="2" t="str">
        <x:v> cnad </x:v>
      </x:c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</x:row>
    <x:row r="92">
      <x:c r="A92" s="1" t="n">
        <x:v>11</x:v>
      </x:c>
      <x:c r="B92" s="1" t="str">
        <x:v>2023-3-28</x:v>
      </x:c>
      <x:c r="C92" s="1"/>
      <x:c r="D92" s="1" t="str">
        <x:v>11</x:v>
      </x:c>
      <x:c r="E92" s="1"/>
      <x:c r="F92" s="1" t="n">
        <x:v>0.211</x:v>
      </x:c>
      <x:c r="G92" s="1"/>
      <x:c r="H92" s="1"/>
      <x:c r="I92" s="1" t="n">
        <x:v>123</x:v>
      </x:c>
      <x:c r="J92" s="1"/>
      <x:c r="K92" s="1" t="n">
        <x:v>246</x:v>
      </x:c>
      <x:c r="L92" s="1" t="n">
        <x:v>0.26</x:v>
      </x:c>
      <x:c r="M92" s="1" t="n">
        <x:v>1.19</x:v>
      </x:c>
      <x:c r="N92" s="1"/>
      <x:c r="O92" s="1" t="n">
        <x:v>212.08</x:v>
      </x:c>
      <x:c r="P92" s="1"/>
      <x:c r="Q92" s="1" t="str">
        <x:v>-99</x:v>
      </x:c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 t="n">
        <x:v>11</x:v>
      </x:c>
      <x:c r="B93" s="1" t="str">
        <x:v>23135</x:v>
      </x:c>
      <x:c r="C93" s="1"/>
      <x:c r="D93" s="1" t="str">
        <x:v>11</x:v>
      </x:c>
      <x:c r="E93" s="1"/>
      <x:c r="F93" s="1"/>
      <x:c r="G93" s="1" t="n">
        <x:v>5049</x:v>
      </x:c>
      <x:c r="H93" s="1"/>
      <x:c r="I93" s="1" t="n">
        <x:v>757</x:v>
      </x:c>
      <x:c r="J93" s="1" t="str">
        <x:v>-99.0</x:v>
      </x:c>
      <x:c r="K93" s="1" t="n">
        <x:v>1515</x:v>
      </x:c>
      <x:c r="L93" s="1"/>
      <x:c r="M93" s="1" t="n">
        <x:v>4.37</x:v>
      </x:c>
      <x:c r="N93" s="1"/>
      <x:c r="O93" s="1" t="n">
        <x:v>208.56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 t="n">
        <x:v>11</x:v>
      </x:c>
      <x:c r="B94" s="3" t="d">
        <x:v>2023-07-02T00:00:00.000Z</x:v>
      </x:c>
      <x:c r="C94" s="1"/>
      <x:c r="D94" s="1" t="str">
        <x:v>11</x:v>
      </x:c>
      <x:c r="E94" s="1"/>
      <x:c r="F94" s="1" t="n">
        <x:v>1.053</x:v>
      </x:c>
      <x:c r="G94" s="1" t="n">
        <x:v>5130</x:v>
      </x:c>
      <x:c r="H94" s="1" t="n">
        <x:v>10852</x:v>
      </x:c>
      <x:c r="I94" s="1" t="n">
        <x:v>1628</x:v>
      </x:c>
      <x:c r="J94" s="1"/>
      <x:c r="K94" s="1" t="n">
        <x:v>3256</x:v>
      </x:c>
      <x:c r="L94" s="1"/>
      <x:c r="M94" s="1" t="n">
        <x:v>1.76</x:v>
      </x:c>
      <x:c r="N94" s="1"/>
      <x:c r="O94" s="1" t="n">
        <x:v>205.04</x:v>
      </x:c>
      <x:c r="P94" s="1"/>
      <x:c r="Q94" s="1" t="str">
        <x:v>-99</x:v>
      </x:c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 t="n">
        <x:v>29</x:v>
      </x:c>
      <x:c r="B95" s="1" t="str">
        <x:v> 2024-05-10</x:v>
      </x:c>
      <x:c r="C95" s="1"/>
      <x:c r="D95" s="1" t="str">
        <x:v>29</x:v>
      </x:c>
      <x:c r="E95" s="1"/>
      <x:c r="F95" s="1"/>
      <x:c r="G95" s="1" t="n">
        <x:v>1340</x:v>
      </x:c>
      <x:c r="H95" s="1"/>
      <x:c r="I95" s="1"/>
      <x:c r="J95" s="1" t="n">
        <x:v>250</x:v>
      </x:c>
      <x:c r="K95" s="1"/>
      <x:c r="L95" s="1" t="n">
        <x:v>0.323</x:v>
      </x:c>
      <x:c r="M95" s="1" t="n">
        <x:v>1.46</x:v>
      </x:c>
      <x:c r="N95" s="1" t="n">
        <x:v>4.3</x:v>
      </x:c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 t="n">
        <x:v>29</x:v>
      </x:c>
      <x:c r="B96" s="1" t="str">
        <x:v>2024-6-5</x:v>
      </x:c>
      <x:c r="C96" s="1"/>
      <x:c r="D96" s="1" t="str">
        <x:v>29</x:v>
      </x:c>
      <x:c r="E96" s="1"/>
      <x:c r="F96" s="1" t="n">
        <x:v>1.123</x:v>
      </x:c>
      <x:c r="G96" s="1" t="n">
        <x:v>4388</x:v>
      </x:c>
      <x:c r="H96" s="1" t="str">
        <x:v>-99</x:v>
      </x:c>
      <x:c r="I96" s="1"/>
      <x:c r="J96" s="1" t="n">
        <x:v>802</x:v>
      </x:c>
      <x:c r="K96" s="1"/>
      <x:c r="L96" s="1" t="n">
        <x:v>0.483</x:v>
      </x:c>
      <x:c r="M96" s="1" t="n">
        <x:v>3.4</x:v>
      </x:c>
      <x:c r="N96" s="1" t="n">
        <x:v>9.8</x:v>
      </x:c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 t="n">
        <x:v>29</x:v>
      </x:c>
      <x:c r="B97" s="1" t="str">
        <x:v>24209</x:v>
      </x:c>
      <x:c r="C97" s="1"/>
      <x:c r="D97" s="1" t="str">
        <x:v>29</x:v>
      </x:c>
      <x:c r="E97" s="1"/>
      <x:c r="F97" s="1"/>
      <x:c r="G97" s="1"/>
      <x:c r="H97" s="1"/>
      <x:c r="I97" s="1"/>
      <x:c r="J97" s="1" t="n">
        <x:v>2312</x:v>
      </x:c>
      <x:c r="K97" s="1"/>
      <x:c r="L97" s="1" t="n">
        <x:v>0.803</x:v>
      </x:c>
      <x:c r="M97" s="1" t="n">
        <x:v>4.26</x:v>
      </x:c>
      <x:c r="N97" s="1" t="n">
        <x:v>18</x:v>
      </x:c>
      <x:c r="O97" s="1"/>
      <x:c r="P97" s="1"/>
      <x:c r="Q97" s="1" t="str">
        <x:v>-99</x:v>
      </x:c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 t="n">
        <x:v>29</x:v>
      </x:c>
      <x:c r="B98" s="3" t="d">
        <x:v>2024-08-22T00:00:00.000Z</x:v>
      </x:c>
      <x:c r="C98" s="1"/>
      <x:c r="D98" s="1" t="str">
        <x:v>29</x:v>
      </x:c>
      <x:c r="E98" s="1"/>
      <x:c r="F98" s="1" t="n">
        <x:v>2.407</x:v>
      </x:c>
      <x:c r="G98" s="1" t="n">
        <x:v>17758</x:v>
      </x:c>
      <x:c r="H98" s="1" t="str">
        <x:v>-99</x:v>
      </x:c>
      <x:c r="I98" s="1"/>
      <x:c r="J98" s="1" t="n">
        <x:v>3215</x:v>
      </x:c>
      <x:c r="K98" s="1"/>
      <x:c r="L98" s="1" t="n">
        <x:v>0.963</x:v>
      </x:c>
      <x:c r="M98" s="1" t="n">
        <x:v>2.16</x:v>
      </x:c>
      <x:c r="N98" s="1" t="n">
        <x:v>18</x:v>
      </x:c>
      <x:c r="O98" s="1" t="str">
        <x:v>-99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 t="n">
        <x:v>47</x:v>
      </x:c>
      <x:c r="B99" s="1" t="str">
        <x:v> 2025-05-28</x:v>
      </x:c>
      <x:c r="C99" s="1"/>
      <x:c r="D99" s="1" t="str">
        <x:v>47</x:v>
      </x:c>
      <x:c r="E99" s="1" t="n">
        <x:v>0.166</x:v>
      </x:c>
      <x:c r="F99" s="1" t="n">
        <x:v>0.191</x:v>
      </x:c>
      <x:c r="G99" s="1" t="n">
        <x:v>596</x:v>
      </x:c>
      <x:c r="H99" s="1"/>
      <x:c r="I99" s="1" t="str">
        <x:v>-99.0</x:v>
      </x:c>
      <x:c r="J99" s="1"/>
      <x:c r="K99" s="1"/>
      <x:c r="L99" s="1"/>
      <x:c r="M99" s="1" t="n">
        <x:v>1.11</x:v>
      </x:c>
      <x:c r="N99" s="1" t="str">
        <x:v>-99</x:v>
      </x:c>
      <x:c r="O99" s="1"/>
      <x:c r="P99" s="1" t="n">
        <x:v>3.61</x:v>
      </x:c>
      <x:c r="Q99" s="1" t="n">
        <x:v>8.55</x:v>
      </x:c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 t="n">
        <x:v>47</x:v>
      </x:c>
      <x:c r="B100" s="1" t="str">
        <x:v>2025-6-19</x:v>
      </x:c>
      <x:c r="C100" s="1"/>
      <x:c r="D100" s="1" t="str">
        <x:v>47</x:v>
      </x:c>
      <x:c r="E100" s="1" t="n">
        <x:v>0.395</x:v>
      </x:c>
      <x:c r="F100" s="1"/>
      <x:c r="G100" s="1"/>
      <x:c r="H100" s="1"/>
      <x:c r="I100" s="1"/>
      <x:c r="J100" s="1"/>
      <x:c r="K100" s="1"/>
      <x:c r="L100" s="1" t="str">
        <x:v>-99</x:v>
      </x:c>
      <x:c r="M100" s="1" t="n">
        <x:v>2.6</x:v>
      </x:c>
      <x:c r="N100" s="1"/>
      <x:c r="O100" s="1"/>
      <x:c r="P100" s="1" t="n">
        <x:v>3.35</x:v>
      </x:c>
      <x:c r="Q100" s="1" t="n">
        <x:v>28.72</x:v>
      </x:c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>
      <x:c r="A101" s="1"/>
      <x:c r="B101" s="1" t="n">
        <x:v>47</x:v>
      </x:c>
      <x:c r="C101" s="1" t="str">
        <x:v>25193</x:v>
      </x:c>
      <x:c r="D101" s="1"/>
      <x:c r="E101" s="1" t="str">
        <x:v>47</x:v>
      </x:c>
      <x:c r="F101" s="1" t="n">
        <x:v>0.634</x:v>
      </x:c>
      <x:c r="G101" s="1" t="n">
        <x:v>0.699</x:v>
      </x:c>
      <x:c r="H101" s="1" t="n">
        <x:v>3672</x:v>
      </x:c>
      <x:c r="I101" s="1" t="str">
        <x:v>-99.0</x:v>
      </x:c>
      <x:c r="J101" s="1"/>
      <x:c r="K101" s="1"/>
      <x:c r="L101" s="1"/>
      <x:c r="M101" s="1"/>
      <x:c r="N101" s="1" t="n">
        <x:v>4.08</x:v>
      </x:c>
      <x:c r="O101" s="1" t="str">
        <x:v>-99.0</x:v>
      </x:c>
      <x:c r="P101" s="1"/>
      <x:c r="Q101" s="1" t="n">
        <x:v>3.08</x:v>
      </x:c>
      <x:c r="R101" s="1" t="n">
        <x:v>55.73</x:v>
      </x:c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>
      <x:c r="A102" s="1"/>
      <x:c r="B102" s="1" t="n">
        <x:v>47</x:v>
      </x:c>
      <x:c r="C102" s="3" t="d">
        <x:v>2025-08-02T00:00:00.000Z</x:v>
      </x:c>
      <x:c r="D102" s="1"/>
      <x:c r="E102" s="1" t="str">
        <x:v>47</x:v>
      </x:c>
      <x:c r="F102" s="1" t="n">
        <x:v>0.852</x:v>
      </x:c>
      <x:c r="G102" s="1"/>
      <x:c r="H102" s="1" t="n">
        <x:v>5669</x:v>
      </x:c>
      <x:c r="I102" s="1"/>
      <x:c r="J102" s="1"/>
      <x:c r="K102" s="1"/>
      <x:c r="L102" s="1"/>
      <x:c r="M102" s="1"/>
      <x:c r="N102" s="1" t="n">
        <x:v>3.25</x:v>
      </x:c>
      <x:c r="O102" s="1"/>
      <x:c r="P102" s="1"/>
      <x:c r="Q102" s="1" t="n">
        <x:v>2.83</x:v>
      </x:c>
      <x:c r="R102" s="1" t="n">
        <x:v>84.31</x:v>
      </x:c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>
      <x:c r="A103" s="1" t="n">
        <x:v>47</x:v>
      </x:c>
      <x:c r="B103" s="1" t="str">
        <x:v> 2025-08-24</x:v>
      </x:c>
      <x:c r="C103" s="1"/>
      <x:c r="D103" s="1" t="str">
        <x:v>47</x:v>
      </x:c>
      <x:c r="E103" s="1" t="n">
        <x:v>0.858</x:v>
      </x:c>
      <x:c r="F103" s="1" t="n">
        <x:v>0.953</x:v>
      </x:c>
      <x:c r="G103" s="1"/>
      <x:c r="H103" s="1"/>
      <x:c r="I103" s="1" t="str">
        <x:v>-99</x:v>
      </x:c>
      <x:c r="J103" s="1"/>
      <x:c r="K103" s="1"/>
      <x:c r="L103" s="1"/>
      <x:c r="M103" s="1" t="n">
        <x:v>1.65</x:v>
      </x:c>
      <x:c r="N103" s="1"/>
      <x:c r="O103" s="1"/>
      <x:c r="P103" s="1" t="n">
        <x:v>2.57</x:v>
      </x:c>
      <x:c r="Q103" s="1" t="n">
        <x:v>117.6</x:v>
      </x:c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 t="n">
        <x:v>65</x:v>
      </x:c>
      <x:c r="B104" s="1" t="str">
        <x:v>2026-4-6</x:v>
      </x:c>
      <x:c r="C104" s="1"/>
      <x:c r="D104" s="1" t="str">
        <x:v>65</x:v>
      </x:c>
      <x:c r="E104" s="1"/>
      <x:c r="F104" s="1" t="str">
        <x:v>-99.0</x:v>
      </x:c>
      <x:c r="G104" s="1"/>
      <x:c r="H104" s="1"/>
      <x:c r="I104" s="1" t="n">
        <x:v>108</x:v>
      </x:c>
      <x:c r="J104" s="1"/>
      <x:c r="K104" s="1" t="n">
        <x:v>216</x:v>
      </x:c>
      <x:c r="L104" s="1"/>
      <x:c r="M104" s="1" t="n">
        <x:v>1.06</x:v>
      </x:c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 t="n">
        <x:v>65</x:v>
      </x:c>
      <x:c r="B105" s="1" t="str">
        <x:v>26146</x:v>
      </x:c>
      <x:c r="C105" s="1"/>
      <x:c r="D105" s="1" t="str">
        <x:v>65</x:v>
      </x:c>
      <x:c r="E105" s="1"/>
      <x:c r="F105" s="1" t="n">
        <x:v>0.662</x:v>
      </x:c>
      <x:c r="G105" s="1" t="n">
        <x:v>4361</x:v>
      </x:c>
      <x:c r="H105" s="1"/>
      <x:c r="I105" s="1" t="n">
        <x:v>657</x:v>
      </x:c>
      <x:c r="J105" s="1"/>
      <x:c r="K105" s="1" t="n">
        <x:v>1315</x:v>
      </x:c>
      <x:c r="L105" s="1"/>
      <x:c r="M105" s="1" t="n">
        <x:v>3.89</x:v>
      </x:c>
      <x:c r="N105" s="1"/>
      <x:c r="O105" s="1" t="str">
        <x:v>-99.0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1" t="n">
        <x:v>65</x:v>
      </x:c>
      <x:c r="B106" s="3" t="d">
        <x:v>2026-07-15T00:00:00.000Z</x:v>
      </x:c>
      <x:c r="C106" s="1"/>
      <x:c r="D106" s="1" t="str">
        <x:v>65</x:v>
      </x:c>
      <x:c r="E106" s="1"/>
      <x:c r="F106" s="1"/>
      <x:c r="G106" s="1" t="n">
        <x:v>9372</x:v>
      </x:c>
      <x:c r="H106" s="1" t="n">
        <x:v>4330</x:v>
      </x:c>
      <x:c r="I106" s="1" t="n">
        <x:v>1410</x:v>
      </x:c>
      <x:c r="J106" s="1"/>
      <x:c r="K106" s="1" t="n">
        <x:v>2820</x:v>
      </x:c>
      <x:c r="L106" s="1"/>
      <x:c r="M106" s="1" t="n">
        <x:v>1.57</x:v>
      </x:c>
      <x:c r="N106" s="1"/>
      <x:c r="O106" s="1"/>
      <x:c r="P106" s="1" t="str">
        <x:v>-99.0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>
      <x:c r="A107" s="1" t="n">
        <x:v>17</x:v>
      </x:c>
      <x:c r="B107" s="1" t="str">
        <x:v> 2023-03-28</x:v>
      </x:c>
      <x:c r="C107" s="1"/>
      <x:c r="D107" s="1" t="str">
        <x:v>17</x:v>
      </x:c>
      <x:c r="E107" s="1"/>
      <x:c r="F107" s="1" t="n">
        <x:v>0.21</x:v>
      </x:c>
      <x:c r="G107" s="1" t="n">
        <x:v>796</x:v>
      </x:c>
      <x:c r="H107" s="1"/>
      <x:c r="I107" s="1"/>
      <x:c r="J107" s="1" t="n">
        <x:v>143</x:v>
      </x:c>
      <x:c r="K107" s="1"/>
      <x:c r="L107" s="1" t="n">
        <x:v>0.32</x:v>
      </x:c>
      <x:c r="M107" s="1" t="n">
        <x:v>1.16</x:v>
      </x:c>
      <x:c r="N107" s="1"/>
      <x:c r="O107" s="1" t="n">
        <x:v>212.08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>
      <x:c r="A108" s="1" t="n">
        <x:v>17</x:v>
      </x:c>
      <x:c r="B108" s="1" t="str">
        <x:v>2023-4-21</x:v>
      </x:c>
      <x:c r="C108" s="1"/>
      <x:c r="D108" s="1" t="str">
        <x:v>17</x:v>
      </x:c>
      <x:c r="E108" s="1" t="str">
        <x:v>-99.0</x:v>
      </x:c>
      <x:c r="F108" s="1"/>
      <x:c r="G108" s="1" t="n">
        <x:v>2606</x:v>
      </x:c>
      <x:c r="H108" s="1"/>
      <x:c r="I108" s="1"/>
      <x:c r="J108" s="1" t="n">
        <x:v>469</x:v>
      </x:c>
      <x:c r="K108" s="1" t="str">
        <x:v>-99</x:v>
      </x:c>
      <x:c r="L108" s="1" t="n">
        <x:v>0.48</x:v>
      </x:c>
      <x:c r="M108" s="1" t="n">
        <x:v>2.7</x:v>
      </x:c>
      <x:c r="N108" s="1"/>
      <x:c r="O108" s="1" t="n">
        <x:v>210.32</x:v>
      </x:c>
      <x:c r="P108" s="1"/>
      <x:c r="Q108" s="1" t="str">
        <x:v>-99</x:v>
      </x:c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>
      <x:c r="A109" s="1" t="n">
        <x:v>17</x:v>
      </x:c>
      <x:c r="B109" s="1" t="str">
        <x:v>23159</x:v>
      </x:c>
      <x:c r="C109" s="1"/>
      <x:c r="D109" s="1" t="str">
        <x:v>17</x:v>
      </x:c>
      <x:c r="E109" s="1"/>
      <x:c r="F109" s="1" t="n">
        <x:v>1.052</x:v>
      </x:c>
      <x:c r="G109" s="1"/>
      <x:c r="H109" s="1"/>
      <x:c r="I109" s="1"/>
      <x:c r="J109" s="1" t="n">
        <x:v>1363</x:v>
      </x:c>
      <x:c r="K109" s="1"/>
      <x:c r="L109" s="1" t="n">
        <x:v>0.8</x:v>
      </x:c>
      <x:c r="M109" s="1" t="n">
        <x:v>3.38</x:v>
      </x:c>
      <x:c r="N109" s="1"/>
      <x:c r="O109" s="1" t="n">
        <x:v>206.8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1" t="n">
        <x:v>17</x:v>
      </x:c>
      <x:c r="B110" s="3" t="d">
        <x:v>2023-07-02T00:00:00.000Z</x:v>
      </x:c>
      <x:c r="C110" s="1"/>
      <x:c r="D110" s="1" t="str">
        <x:v>17</x:v>
      </x:c>
      <x:c r="E110" s="1"/>
      <x:c r="F110" s="1"/>
      <x:c r="G110" s="1" t="n">
        <x:v>10545</x:v>
      </x:c>
      <x:c r="H110" s="1"/>
      <x:c r="I110" s="1"/>
      <x:c r="J110" s="1" t="n">
        <x:v>1898</x:v>
      </x:c>
      <x:c r="K110" s="1"/>
      <x:c r="L110" s="1" t="n">
        <x:v>0.96</x:v>
      </x:c>
      <x:c r="M110" s="1" t="n">
        <x:v>1.71</x:v>
      </x:c>
      <x:c r="N110" s="1"/>
      <x:c r="O110" s="1" t="n">
        <x:v>205.04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>
      <x:c r="A111" s="1" t="n">
        <x:v>35</x:v>
      </x:c>
      <x:c r="B111" s="1" t="str">
        <x:v> 2024-05-10</x:v>
      </x:c>
      <x:c r="C111" s="1"/>
      <x:c r="D111" s="1" t="str">
        <x:v>35</x:v>
      </x:c>
      <x:c r="E111" s="1"/>
      <x:c r="F111" s="1"/>
      <x:c r="G111" s="1" t="n">
        <x:v>1302</x:v>
      </x:c>
      <x:c r="H111" s="1" t="str">
        <x:v>-99.0</x:v>
      </x:c>
      <x:c r="I111" s="1"/>
      <x:c r="J111" s="1"/>
      <x:c r="K111" s="1" t="str">
        <x:v>-99</x:v>
      </x:c>
      <x:c r="L111" s="1"/>
      <x:c r="M111" s="1" t="n">
        <x:v>1.42</x:v>
      </x:c>
      <x:c r="N111" s="1" t="n">
        <x:v>4.3</x:v>
      </x:c>
      <x:c r="O111" s="1"/>
      <x:c r="P111" s="1" t="n">
        <x:v>3.6</x:v>
      </x:c>
      <x:c r="Q111" s="1" t="n">
        <x:v>20.23</x:v>
      </x:c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 t="n">
        <x:v>35</x:v>
      </x:c>
      <x:c r="B112" s="1" t="str">
        <x:v>2024-6-5</x:v>
      </x:c>
      <x:c r="C112" s="1"/>
      <x:c r="D112" s="1" t="str">
        <x:v>35</x:v>
      </x:c>
      <x:c r="E112" s="1" t="str">
        <x:v>-99</x:v>
      </x:c>
      <x:c r="F112" s="1" t="n">
        <x:v>1.122</x:v>
      </x:c>
      <x:c r="G112" s="1"/>
      <x:c r="H112" s="1"/>
      <x:c r="I112" s="1"/>
      <x:c r="J112" s="1"/>
      <x:c r="K112" s="1"/>
      <x:c r="L112" s="1"/>
      <x:c r="M112" s="1" t="n">
        <x:v>3.31</x:v>
      </x:c>
      <x:c r="N112" s="1" t="n">
        <x:v>9.8</x:v>
      </x:c>
      <x:c r="O112" s="1"/>
      <x:c r="P112" s="1" t="n">
        <x:v>3.34</x:v>
      </x:c>
      <x:c r="Q112" s="1" t="n">
        <x:v>64.95</x:v>
      </x:c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1" t="n">
        <x:v>35</x:v>
      </x:c>
      <x:c r="B113" s="1" t="str">
        <x:v>24183</x:v>
      </x:c>
      <x:c r="C113" s="1"/>
      <x:c r="D113" s="1" t="str">
        <x:v>35</x:v>
      </x:c>
      <x:c r="E113" s="1"/>
      <x:c r="F113" s="1"/>
      <x:c r="G113" s="1" t="n">
        <x:v>8028</x:v>
      </x:c>
      <x:c r="H113" s="1"/>
      <x:c r="I113" s="1"/>
      <x:c r="J113" s="1"/>
      <x:c r="K113" s="1" t="str">
        <x:v>-99</x:v>
      </x:c>
      <x:c r="L113" s="1" t="str">
        <x:v>-99</x:v>
      </x:c>
      <x:c r="M113" s="1" t="n">
        <x:v>5.2</x:v>
      </x:c>
      <x:c r="N113" s="1" t="n">
        <x:v>15.3</x:v>
      </x:c>
      <x:c r="O113" s="1"/>
      <x:c r="P113" s="1" t="n">
        <x:v>3.08</x:v>
      </x:c>
      <x:c r="Q113" s="1" t="n">
        <x:v>121.6</x:v>
      </x:c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>
      <x:c r="A114" s="1" t="n">
        <x:v>35</x:v>
      </x:c>
      <x:c r="B114" s="3" t="d">
        <x:v>2024-07-27T00:00:00.000Z</x:v>
      </x:c>
      <x:c r="C114" s="1"/>
      <x:c r="D114" s="1" t="str">
        <x:v>35</x:v>
      </x:c>
      <x:c r="E114" s="1"/>
      <x:c r="F114" s="1" t="n">
        <x:v>2.404</x:v>
      </x:c>
      <x:c r="G114" s="1" t="n">
        <x:v>12394</x:v>
      </x:c>
      <x:c r="H114" s="1"/>
      <x:c r="I114" s="1"/>
      <x:c r="J114" s="1"/>
      <x:c r="K114" s="1" t="str">
        <x:v>-99.0</x:v>
      </x:c>
      <x:c r="L114" s="1"/>
      <x:c r="M114" s="1" t="n">
        <x:v>4.14</x:v>
      </x:c>
      <x:c r="N114" s="1" t="n">
        <x:v>18</x:v>
      </x:c>
      <x:c r="O114" s="1"/>
      <x:c r="P114" s="1" t="n">
        <x:v>2.82</x:v>
      </x:c>
      <x:c r="Q114" s="1" t="n">
        <x:v>187.25</x:v>
      </x:c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>
      <x:c r="A115" s="1" t="n">
        <x:v>35</x:v>
      </x:c>
      <x:c r="B115" s="1" t="str">
        <x:v> 2024-08-22</x:v>
      </x:c>
      <x:c r="C115" s="1"/>
      <x:c r="D115" s="1" t="str">
        <x:v>35</x:v>
      </x:c>
      <x:c r="E115" s="1"/>
      <x:c r="F115" s="1"/>
      <x:c r="G115" s="1"/>
      <x:c r="H115" s="1"/>
      <x:c r="I115" s="1" t="str">
        <x:v>-99</x:v>
      </x:c>
      <x:c r="J115" s="1" t="str">
        <x:v>-99</x:v>
      </x:c>
      <x:c r="K115" s="1"/>
      <x:c r="L115" s="1"/>
      <x:c r="M115" s="1" t="n">
        <x:v>2.1</x:v>
      </x:c>
      <x:c r="N115" s="1" t="n">
        <x:v>18</x:v>
      </x:c>
      <x:c r="O115" s="1"/>
      <x:c r="P115" s="1" t="n">
        <x:v>2.56</x:v>
      </x:c>
      <x:c r="Q115" s="1" t="n">
        <x:v>260.3</x:v>
      </x:c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 t="n">
        <x:v>53</x:v>
      </x:c>
      <x:c r="B116" s="1" t="str">
        <x:v>2025-5-28</x:v>
      </x:c>
      <x:c r="C116" s="1"/>
      <x:c r="D116" s="1" t="str">
        <x:v>53</x:v>
      </x:c>
      <x:c r="E116" s="1" t="n">
        <x:v>0.166</x:v>
      </x:c>
      <x:c r="F116" s="1" t="n">
        <x:v>0.19</x:v>
      </x:c>
      <x:c r="G116" s="1"/>
      <x:c r="H116" s="1"/>
      <x:c r="I116" s="1" t="n">
        <x:v>83</x:v>
      </x:c>
      <x:c r="J116" s="1" t="str">
        <x:v>-99.0</x:v>
      </x:c>
      <x:c r="K116" s="1" t="n">
        <x:v>166</x:v>
      </x:c>
      <x:c r="L116" s="1"/>
      <x:c r="M116" s="1" t="n">
        <x:v>1.08</x:v>
      </x:c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 t="n">
        <x:v>53</x:v>
      </x:c>
      <x:c r="B117" s="1" t="str">
        <x:v>25193</x:v>
      </x:c>
      <x:c r="C117" s="1"/>
      <x:c r="D117" s="1" t="str">
        <x:v>53</x:v>
      </x:c>
      <x:c r="E117" s="1" t="n">
        <x:v>0.633</x:v>
      </x:c>
      <x:c r="F117" s="1"/>
      <x:c r="G117" s="1" t="n">
        <x:v>3568</x:v>
      </x:c>
      <x:c r="H117" s="1"/>
      <x:c r="I117" s="1" t="n">
        <x:v>541</x:v>
      </x:c>
      <x:c r="J117" s="1"/>
      <x:c r="K117" s="1" t="n">
        <x:v>1083</x:v>
      </x:c>
      <x:c r="L117" s="1"/>
      <x:c r="M117" s="1" t="n">
        <x:v>3.97</x:v>
      </x:c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 t="n">
        <x:v>53</x:v>
      </x:c>
      <x:c r="B118" s="3" t="d">
        <x:v>2025-08-24T00:00:00.000Z</x:v>
      </x:c>
      <x:c r="C118" s="1"/>
      <x:c r="D118" s="1" t="str">
        <x:v>53</x:v>
      </x:c>
      <x:c r="E118" s="1" t="n">
        <x:v>0.856</x:v>
      </x:c>
      <x:c r="F118" s="1" t="n">
        <x:v>0.951</x:v>
      </x:c>
      <x:c r="G118" s="1" t="n">
        <x:v>7669</x:v>
      </x:c>
      <x:c r="H118" s="1" t="n">
        <x:v>3131</x:v>
      </x:c>
      <x:c r="I118" s="1" t="n">
        <x:v>1143</x:v>
      </x:c>
      <x:c r="J118" s="1"/>
      <x:c r="K118" s="1" t="n">
        <x:v>2285</x:v>
      </x:c>
      <x:c r="L118" s="1"/>
      <x:c r="M118" s="1" t="n">
        <x:v>1.6</x:v>
      </x:c>
      <x:c r="N118" s="1"/>
      <x:c r="O118" s="1"/>
      <x:c r="P118" s="1"/>
      <x:c r="Q118" s="1" t="str">
        <x:v>-99</x:v>
      </x:c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1" t="n">
        <x:v>71</x:v>
      </x:c>
      <x:c r="B119" s="1" t="str">
        <x:v> 2026-04-06</x:v>
      </x:c>
      <x:c r="C119" s="1"/>
      <x:c r="D119" s="1" t="str">
        <x:v>71</x:v>
      </x:c>
      <x:c r="E119" s="1"/>
      <x:c r="F119" s="1" t="str">
        <x:v>-99.0</x:v>
      </x:c>
      <x:c r="G119" s="1" t="n">
        <x:v>687</x:v>
      </x:c>
      <x:c r="H119" s="1"/>
      <x:c r="I119" s="1"/>
      <x:c r="J119" s="1" t="n">
        <x:v>126</x:v>
      </x:c>
      <x:c r="K119" s="1"/>
      <x:c r="L119" s="1" t="n">
        <x:v>0.322</x:v>
      </x:c>
      <x:c r="M119" s="1" t="n">
        <x:v>1.03</x:v>
      </x:c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>
      <x:c r="A120" s="1" t="n">
        <x:v>71</x:v>
      </x:c>
      <x:c r="B120" s="1" t="str">
        <x:v>2026-5-1</x:v>
      </x:c>
      <x:c r="C120" s="1"/>
      <x:c r="D120" s="1" t="str">
        <x:v>71</x:v>
      </x:c>
      <x:c r="E120" s="1"/>
      <x:c r="F120" s="1" t="n">
        <x:v>0.42</x:v>
      </x:c>
      <x:c r="G120" s="1" t="n">
        <x:v>2250</x:v>
      </x:c>
      <x:c r="H120" s="1" t="str">
        <x:v>-99.0</x:v>
      </x:c>
      <x:c r="I120" s="1"/>
      <x:c r="J120" s="1" t="n">
        <x:v>408</x:v>
      </x:c>
      <x:c r="K120" s="1"/>
      <x:c r="L120" s="1" t="n">
        <x:v>0.482</x:v>
      </x:c>
      <x:c r="M120" s="1" t="n">
        <x:v>2.4</x:v>
      </x:c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 t="n">
        <x:v>71</x:v>
      </x:c>
      <x:c r="B121" s="1" t="str">
        <x:v>26171</x:v>
      </x:c>
      <x:c r="C121" s="1"/>
      <x:c r="D121" s="1" t="str">
        <x:v>71</x:v>
      </x:c>
      <x:c r="E121" s="1"/>
      <x:c r="F121" s="1"/>
      <x:c r="G121" s="1"/>
      <x:c r="H121" s="1"/>
      <x:c r="I121" s="1"/>
      <x:c r="J121" s="1" t="n">
        <x:v>1182</x:v>
      </x:c>
      <x:c r="K121" s="1"/>
      <x:c r="L121" s="1" t="n">
        <x:v>0.802</x:v>
      </x:c>
      <x:c r="M121" s="1" t="n">
        <x:v>3.01</x:v>
      </x:c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 t="n">
        <x:v>71</x:v>
      </x:c>
      <x:c r="B122" s="3" t="d">
        <x:v>2026-07-15T00:00:00.000Z</x:v>
      </x:c>
      <x:c r="C122" s="1"/>
      <x:c r="D122" s="1" t="str">
        <x:v>71</x:v>
      </x:c>
      <x:c r="E122" s="1"/>
      <x:c r="F122" s="1" t="n">
        <x:v>0.901</x:v>
      </x:c>
      <x:c r="G122" s="1" t="n">
        <x:v>9107</x:v>
      </x:c>
      <x:c r="H122" s="1"/>
      <x:c r="I122" s="1"/>
      <x:c r="J122" s="1" t="n">
        <x:v>1644</x:v>
      </x:c>
      <x:c r="K122" s="1"/>
      <x:c r="L122" s="1" t="n">
        <x:v>0.962</x:v>
      </x:c>
      <x:c r="M122" s="1" t="n">
        <x:v>1.52</x:v>
      </x:c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 t="n">
        <x:v>23</x:v>
      </x:c>
      <x:c r="B123" s="1" t="str">
        <x:v> 2023-03-28</x:v>
      </x:c>
      <x:c r="C123" s="1"/>
      <x:c r="D123" s="1" t="str">
        <x:v>23</x:v>
      </x:c>
      <x:c r="E123" s="1" t="str">
        <x:v>-99</x:v>
      </x:c>
      <x:c r="F123" s="1" t="n">
        <x:v>0.21</x:v>
      </x:c>
      <x:c r="G123" s="1" t="n">
        <x:v>742</x:v>
      </x:c>
      <x:c r="H123" s="1"/>
      <x:c r="I123" s="1"/>
      <x:c r="J123" s="1"/>
      <x:c r="K123" s="1" t="str">
        <x:v>-99.0</x:v>
      </x:c>
      <x:c r="L123" s="1" t="n">
        <x:v>0.26</x:v>
      </x:c>
      <x:c r="M123" s="1" t="n">
        <x:v>1.08</x:v>
      </x:c>
      <x:c r="N123" s="1"/>
      <x:c r="O123" s="1" t="n">
        <x:v>212.08</x:v>
      </x:c>
      <x:c r="P123" s="1" t="n">
        <x:v>3.6</x:v>
      </x:c>
      <x:c r="Q123" s="1" t="n">
        <x:v>11.13</x:v>
      </x:c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 t="n">
        <x:v>23</x:v>
      </x:c>
      <x:c r="B124" s="1" t="str">
        <x:v>2023-4-21</x:v>
      </x:c>
      <x:c r="C124" s="1"/>
      <x:c r="D124" s="1" t="str">
        <x:v>23</x:v>
      </x:c>
      <x:c r="E124" s="1"/>
      <x:c r="F124" s="1"/>
      <x:c r="G124" s="1"/>
      <x:c r="H124" s="1"/>
      <x:c r="I124" s="1"/>
      <x:c r="J124" s="1"/>
      <x:c r="K124" s="1"/>
      <x:c r="L124" s="1"/>
      <x:c r="M124" s="1" t="n">
        <x:v>2.52</x:v>
      </x:c>
      <x:c r="N124" s="1"/>
      <x:c r="O124" s="1" t="n">
        <x:v>210.32</x:v>
      </x:c>
      <x:c r="P124" s="1" t="n">
        <x:v>3.34</x:v>
      </x:c>
      <x:c r="Q124" s="1" t="n">
        <x:v>36.43</x:v>
      </x:c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1" t="n">
        <x:v>23</x:v>
      </x:c>
      <x:c r="B125" s="1" t="str">
        <x:v>23135</x:v>
      </x:c>
      <x:c r="C125" s="1"/>
      <x:c r="D125" s="1" t="str">
        <x:v>23</x:v>
      </x:c>
      <x:c r="E125" s="1"/>
      <x:c r="F125" s="1" t="n">
        <x:v>0.769</x:v>
      </x:c>
      <x:c r="G125" s="1" t="n">
        <x:v>4573</x:v>
      </x:c>
      <x:c r="H125" s="1"/>
      <x:c r="I125" s="1"/>
      <x:c r="J125" s="1"/>
      <x:c r="K125" s="1" t="str">
        <x:v>-99</x:v>
      </x:c>
      <x:c r="L125" s="1"/>
      <x:c r="M125" s="1" t="n">
        <x:v>3.96</x:v>
      </x:c>
      <x:c r="N125" s="1"/>
      <x:c r="O125" s="1" t="n">
        <x:v>208.56</x:v>
      </x:c>
      <x:c r="P125" s="1" t="n">
        <x:v>3.08</x:v>
      </x:c>
      <x:c r="Q125" s="1" t="n">
        <x:v>68.59</x:v>
      </x:c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>
      <x:c r="A126" s="1" t="n">
        <x:v>23</x:v>
      </x:c>
      <x:c r="B126" s="3" t="d">
        <x:v>2023-06-08T00:00:00.000Z</x:v>
      </x:c>
      <x:c r="C126" s="1"/>
      <x:c r="D126" s="1" t="str">
        <x:v>23</x:v>
      </x:c>
      <x:c r="E126" s="1"/>
      <x:c r="F126" s="1"/>
      <x:c r="G126" s="1" t="n">
        <x:v>7059</x:v>
      </x:c>
      <x:c r="H126" s="1"/>
      <x:c r="I126" s="1"/>
      <x:c r="J126" s="1" t="str">
        <x:v>-99</x:v>
      </x:c>
      <x:c r="K126" s="1"/>
      <x:c r="L126" s="1"/>
      <x:c r="M126" s="1" t="n">
        <x:v>3.15</x:v>
      </x:c>
      <x:c r="N126" s="1"/>
      <x:c r="O126" s="1" t="n">
        <x:v>206.8</x:v>
      </x:c>
      <x:c r="P126" s="1" t="n">
        <x:v>2.82</x:v>
      </x:c>
      <x:c r="Q126" s="1" t="n">
        <x:v>105.88</x:v>
      </x:c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>
      <x:c r="A127" s="1" t="n">
        <x:v>23</x:v>
      </x:c>
      <x:c r="B127" s="1" t="str">
        <x:v> 2023-07-02</x:v>
      </x:c>
      <x:c r="C127" s="1"/>
      <x:c r="D127" s="1" t="str">
        <x:v>23</x:v>
      </x:c>
      <x:c r="E127" s="1"/>
      <x:c r="F127" s="1" t="n">
        <x:v>1.048</x:v>
      </x:c>
      <x:c r="G127" s="1"/>
      <x:c r="H127" s="1"/>
      <x:c r="I127" s="1"/>
      <x:c r="J127" s="1"/>
      <x:c r="K127" s="1"/>
      <x:c r="L127" s="1"/>
      <x:c r="M127" s="1" t="n">
        <x:v>1.6</x:v>
      </x:c>
      <x:c r="N127" s="1"/>
      <x:c r="O127" s="1" t="n">
        <x:v>205.04</x:v>
      </x:c>
      <x:c r="P127" s="1" t="n">
        <x:v>2.56</x:v>
      </x:c>
      <x:c r="Q127" s="1" t="n">
        <x:v>147.42</x:v>
      </x:c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>
      <x:c r="A128" s="1" t="n">
        <x:v>41</x:v>
      </x:c>
      <x:c r="B128" s="1" t="str">
        <x:v>2024-5-10</x:v>
      </x:c>
      <x:c r="C128" s="1"/>
      <x:c r="D128" s="1" t="str">
        <x:v>41</x:v>
      </x:c>
      <x:c r="E128" s="1"/>
      <x:c r="F128" s="1"/>
      <x:c r="G128" s="1"/>
      <x:c r="H128" s="1"/>
      <x:c r="I128" s="1" t="n">
        <x:v>189</x:v>
      </x:c>
      <x:c r="J128" s="1"/>
      <x:c r="K128" s="1" t="n">
        <x:v>377</x:v>
      </x:c>
      <x:c r="L128" s="1"/>
      <x:c r="M128" s="1" t="n">
        <x:v>1.32</x:v>
      </x:c>
      <x:c r="N128" s="1" t="n">
        <x:v>4.3</x:v>
      </x:c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>
      <x:c r="A129" s="1" t="n">
        <x:v>41</x:v>
      </x:c>
      <x:c r="B129" s="1" t="str">
        <x:v>24183</x:v>
      </x:c>
      <x:c r="C129" s="1"/>
      <x:c r="D129" s="1" t="str">
        <x:v>41</x:v>
      </x:c>
      <x:c r="E129" s="1"/>
      <x:c r="F129" s="1" t="n">
        <x:v>1.756</x:v>
      </x:c>
      <x:c r="G129" s="1" t="n">
        <x:v>7483</x:v>
      </x:c>
      <x:c r="H129" s="1"/>
      <x:c r="I129" s="1" t="n">
        <x:v>1133</x:v>
      </x:c>
      <x:c r="J129" s="1"/>
      <x:c r="K129" s="1" t="n">
        <x:v>2267</x:v>
      </x:c>
      <x:c r="L129" s="1"/>
      <x:c r="M129" s="1" t="n">
        <x:v>4.84</x:v>
      </x:c>
      <x:c r="N129" s="1" t="n">
        <x:v>15.3</x:v>
      </x:c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>
      <x:c r="A130" s="1" t="n">
        <x:v>41</x:v>
      </x:c>
      <x:c r="B130" s="3" t="d">
        <x:v>2024-08-22T00:00:00.000Z</x:v>
      </x:c>
      <x:c r="C130" s="1"/>
      <x:c r="D130" s="1" t="str">
        <x:v>41</x:v>
      </x:c>
      <x:c r="E130" s="1"/>
      <x:c r="F130" s="1"/>
      <x:c r="G130" s="1" t="n">
        <x:v>16083</x:v>
      </x:c>
      <x:c r="H130" s="1" t="n">
        <x:v>8294</x:v>
      </x:c>
      <x:c r="I130" s="1" t="n">
        <x:v>2426</x:v>
      </x:c>
      <x:c r="J130" s="1"/>
      <x:c r="K130" s="1" t="n">
        <x:v>4852</x:v>
      </x:c>
      <x:c r="L130" s="1"/>
      <x:c r="M130" s="1" t="n">
        <x:v>1.95</x:v>
      </x:c>
      <x:c r="N130" s="1" t="n">
        <x:v>18</x:v>
      </x:c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>
      <x:c r="A131" s="1" t="n">
        <x:v>59</x:v>
      </x:c>
      <x:c r="B131" s="1" t="str">
        <x:v> 2025-05-28</x:v>
      </x:c>
      <x:c r="C131" s="1"/>
      <x:c r="D131" s="1" t="str">
        <x:v>59</x:v>
      </x:c>
      <x:c r="E131" s="1" t="n">
        <x:v>0.165</x:v>
      </x:c>
      <x:c r="F131" s="1" t="n">
        <x:v>0.19</x:v>
      </x:c>
      <x:c r="G131" s="1" t="n">
        <x:v>539</x:v>
      </x:c>
      <x:c r="H131" s="1"/>
      <x:c r="I131" s="1"/>
      <x:c r="J131" s="1" t="n">
        <x:v>93</x:v>
      </x:c>
      <x:c r="K131" s="1"/>
      <x:c r="L131" s="1" t="n">
        <x:v>0.316</x:v>
      </x:c>
      <x:c r="M131" s="1" t="n">
        <x:v>1.01</x:v>
      </x:c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>
      <x:c r="A132" s="1" t="n">
        <x:v>59</x:v>
      </x:c>
      <x:c r="B132" s="1" t="str">
        <x:v>2025-6-19</x:v>
      </x:c>
      <x:c r="C132" s="1"/>
      <x:c r="D132" s="1" t="str">
        <x:v>59</x:v>
      </x:c>
      <x:c r="E132" s="1" t="n">
        <x:v>0.393</x:v>
      </x:c>
      <x:c r="F132" s="1"/>
      <x:c r="G132" s="1" t="n">
        <x:v>1766</x:v>
      </x:c>
      <x:c r="H132" s="1"/>
      <x:c r="I132" s="1"/>
      <x:c r="J132" s="1" t="n">
        <x:v>312</x:v>
      </x:c>
      <x:c r="K132" s="1"/>
      <x:c r="L132" s="1" t="n">
        <x:v>0.476</x:v>
      </x:c>
      <x:c r="M132" s="1" t="n">
        <x:v>2.35</x:v>
      </x:c>
      <x:c r="N132" s="1" t="str">
        <x:v>-99.0</x:v>
      </x:c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>
      <x:c r="A133" s="1" t="n">
        <x:v>59</x:v>
      </x:c>
      <x:c r="B133" s="1" t="str">
        <x:v>25214</x:v>
      </x:c>
      <x:c r="C133" s="1"/>
      <x:c r="D133" s="1" t="str">
        <x:v>59</x:v>
      </x:c>
      <x:c r="E133" s="1" t="n">
        <x:v>0.848</x:v>
      </x:c>
      <x:c r="F133" s="1" t="n">
        <x:v>0.948</x:v>
      </x:c>
      <x:c r="G133" s="1"/>
      <x:c r="H133" s="1"/>
      <x:c r="I133" s="1"/>
      <x:c r="J133" s="1" t="n">
        <x:v>916</x:v>
      </x:c>
      <x:c r="K133" s="1"/>
      <x:c r="L133" s="1" t="n">
        <x:v>0.796</x:v>
      </x:c>
      <x:c r="M133" s="1" t="n">
        <x:v>2.94</x:v>
      </x:c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>
      <x:c r="A134" s="1" t="n">
        <x:v>59</x:v>
      </x:c>
      <x:c r="B134" s="3" t="d">
        <x:v>2025-08-24T00:00:00.000Z</x:v>
      </x:c>
      <x:c r="C134" s="1"/>
      <x:c r="D134" s="1" t="str">
        <x:v>59</x:v>
      </x:c>
      <x:c r="E134" s="1" t="n">
        <x:v>0.853</x:v>
      </x:c>
      <x:c r="F134" s="1"/>
      <x:c r="G134" s="1" t="n">
        <x:v>7148</x:v>
      </x:c>
      <x:c r="H134" s="1"/>
      <x:c r="I134" s="1"/>
      <x:c r="J134" s="1" t="n">
        <x:v>1278</x:v>
      </x:c>
      <x:c r="K134" s="1"/>
      <x:c r="L134" s="1" t="n">
        <x:v>0.956</x:v>
      </x:c>
      <x:c r="M134" s="1" t="n">
        <x:v>1.49</x:v>
      </x:c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>
      <x:c r="A135" s="1" t="n">
        <x:v>77</x:v>
      </x:c>
      <x:c r="B135" s="1" t="str">
        <x:v> 2026-04-06</x:v>
      </x:c>
      <x:c r="C135" s="1"/>
      <x:c r="D135" s="1" t="str">
        <x:v>77</x:v>
      </x:c>
      <x:c r="E135" s="1"/>
      <x:c r="F135" s="1" t="str">
        <x:v>-99</x:v>
      </x:c>
      <x:c r="G135" s="1" t="n">
        <x:v>641</x:v>
      </x:c>
      <x:c r="H135" s="1"/>
      <x:c r="I135" s="1"/>
      <x:c r="J135" s="1"/>
      <x:c r="K135" s="1"/>
      <x:c r="L135" s="1"/>
      <x:c r="M135" s="1" t="n">
        <x:v>0.96</x:v>
      </x:c>
      <x:c r="N135" s="1" t="str">
        <x:v>-99.0</x:v>
      </x:c>
      <x:c r="O135" s="1"/>
      <x:c r="P135" s="1" t="n">
        <x:v>3.6</x:v>
      </x:c>
      <x:c r="Q135" s="1" t="n">
        <x:v>9.78</x:v>
      </x:c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>
      <x:c r="A136" s="1" t="n">
        <x:v>77</x:v>
      </x:c>
      <x:c r="B136" s="1" t="str">
        <x:v>2026-5-1</x:v>
      </x:c>
      <x:c r="C136" s="1"/>
      <x:c r="D136" s="1" t="str">
        <x:v>77</x:v>
      </x:c>
      <x:c r="E136" s="1"/>
      <x:c r="F136" s="1" t="n">
        <x:v>0.419</x:v>
      </x:c>
      <x:c r="G136" s="1"/>
      <x:c r="H136" s="1"/>
      <x:c r="I136" s="1" t="str">
        <x:v>-99.0</x:v>
      </x:c>
      <x:c r="J136" s="1"/>
      <x:c r="K136" s="1" t="str">
        <x:v>-99</x:v>
      </x:c>
      <x:c r="L136" s="1" t="str">
        <x:v>-99.0</x:v>
      </x:c>
      <x:c r="M136" s="1" t="n">
        <x:v>2.24</x:v>
      </x:c>
      <x:c r="N136" s="1"/>
      <x:c r="O136" s="1"/>
      <x:c r="P136" s="1" t="n">
        <x:v>3.34</x:v>
      </x:c>
      <x:c r="Q136" s="1" t="n">
        <x:v>31.71</x:v>
      </x:c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>
      <x:c r="A137" s="1" t="n">
        <x:v>77</x:v>
      </x:c>
      <x:c r="B137" s="1" t="str">
        <x:v>26146</x:v>
      </x:c>
      <x:c r="C137" s="1"/>
      <x:c r="D137" s="1" t="str">
        <x:v>77</x:v>
      </x:c>
      <x:c r="E137" s="1" t="str">
        <x:v>-99.0</x:v>
      </x:c>
      <x:c r="F137" s="1"/>
      <x:c r="G137" s="1" t="n">
        <x:v>3949</x:v>
      </x:c>
      <x:c r="H137" s="1" t="str">
        <x:v>-99.0</x:v>
      </x:c>
      <x:c r="I137" s="1"/>
      <x:c r="J137" s="1" t="str">
        <x:v>-99</x:v>
      </x:c>
      <x:c r="K137" s="1"/>
      <x:c r="L137" s="1"/>
      <x:c r="M137" s="1" t="n">
        <x:v>3.52</x:v>
      </x:c>
      <x:c r="N137" s="1"/>
      <x:c r="O137" s="1"/>
      <x:c r="P137" s="1" t="n">
        <x:v>3.08</x:v>
      </x:c>
      <x:c r="Q137" s="1" t="n">
        <x:v>59.53</x:v>
      </x:c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>
      <x:c r="A138" s="1" t="n">
        <x:v>77</x:v>
      </x:c>
      <x:c r="B138" s="3" t="d">
        <x:v>2026-06-20T00:00:00.000Z</x:v>
      </x:c>
      <x:c r="C138" s="1"/>
      <x:c r="D138" s="1" t="str">
        <x:v>77</x:v>
      </x:c>
      <x:c r="E138" s="1"/>
      <x:c r="F138" s="1" t="n">
        <x:v>0.898</x:v>
      </x:c>
      <x:c r="G138" s="1" t="n">
        <x:v>6097</x:v>
      </x:c>
      <x:c r="H138" s="1"/>
      <x:c r="I138" s="1"/>
      <x:c r="J138" s="1"/>
      <x:c r="K138" s="1"/>
      <x:c r="L138" s="1"/>
      <x:c r="M138" s="1" t="n">
        <x:v>2.8</x:v>
      </x:c>
      <x:c r="N138" s="1"/>
      <x:c r="O138" s="1"/>
      <x:c r="P138" s="1" t="n">
        <x:v>2.82</x:v>
      </x:c>
      <x:c r="Q138" s="1" t="n">
        <x:v>91.78</x:v>
      </x:c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>
      <x:c r="A139" s="1" t="n">
        <x:v>77</x:v>
      </x:c>
      <x:c r="B139" s="1" t="str">
        <x:v> 2026-07-15</x:v>
      </x:c>
      <x:c r="C139" s="1"/>
      <x:c r="D139" s="1" t="str">
        <x:v>77</x:v>
      </x:c>
      <x:c r="E139" s="1"/>
      <x:c r="F139" s="1" t="str">
        <x:v>-99.0</x:v>
      </x:c>
      <x:c r="G139" s="1"/>
      <x:c r="H139" s="1"/>
      <x:c r="I139" s="1" t="str">
        <x:v>-99</x:v>
      </x:c>
      <x:c r="J139" s="1"/>
      <x:c r="K139" s="1"/>
      <x:c r="L139" s="1"/>
      <x:c r="M139" s="1" t="n">
        <x:v>1.42</x:v>
      </x:c>
      <x:c r="N139" s="1"/>
      <x:c r="O139" s="1"/>
      <x:c r="P139" s="1" t="n">
        <x:v>2.56</x:v>
      </x:c>
      <x:c r="Q139" s="1" t="n">
        <x:v>127.69</x:v>
      </x:c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  <x:row r="141">
      <x:c r="A141" s="1" t="str">
        <x:v>! Section</x:v>
      </x:c>
      <x:c r="B141" s="1" t="str">
        <x:v>Environmental_modification</x:v>
      </x:c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</x:row>
    <x:row r="142">
      <x:c r="A142" s="1" t="str">
        <x:v>! Definitions</x:v>
      </x:c>
      <x:c r="B142" s="1" t="str">
        <x:v>Environmental modification, dewpoint</x:v>
      </x:c>
      <x:c r="C142" s="1"/>
      <x:c r="D142" s="1" t="str">
        <x:v>Environmental modific.code, dewpoint</x:v>
      </x:c>
      <x:c r="E142" s="1" t="str">
        <x:v>Environmental modification, CO2</x:v>
      </x:c>
      <x:c r="F142" s="1" t="str">
        <x:v>Environmental modific.code, CO2</x:v>
      </x:c>
      <x:c r="G142" s="1" t="str">
        <x:v>Environmental modification, minimum temperature</x:v>
      </x:c>
      <x:c r="H142" s="1" t="str">
        <x:v>Environmental modific.code, minimum temperature</x:v>
      </x:c>
      <x:c r="I142" s="1" t="str">
        <x:v>Environmental modification, maximum temperature</x:v>
      </x:c>
      <x:c r="J142" s="1" t="str">
        <x:v>Environmental modific.code, maximum temperature</x:v>
      </x:c>
      <x:c r="K142" s="1" t="str">
        <x:v>Environmental modification,radiation</x:v>
      </x:c>
      <x:c r="L142" s="1" t="str">
        <x:v>Environmental modific.code, radiation</x:v>
      </x:c>
      <x:c r="M142" s="1" t="str">
        <x:v>Identifier of the environmental modification treatment associated with the event</x:v>
      </x:c>
      <x:c r="N142" s="1" t="str">
        <x:v>Environmental modifications date; use YYYY-MM-DD.</x:v>
      </x:c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</x:row>
    <x:row r="143">
      <x:c r="A143" s="1" t="str">
        <x:v>! Units</x:v>
      </x:c>
      <x:c r="B143" s="1" t="str">
        <x:v>degree_C</x:v>
      </x:c>
      <x:c r="C143" s="1"/>
      <x:c r="D143" s="1" t="str">
        <x:v>code</x:v>
      </x:c>
      <x:c r="E143" s="1" t="str">
        <x:v>ppm</x:v>
      </x:c>
      <x:c r="F143" s="1" t="str">
        <x:v>code</x:v>
      </x:c>
      <x:c r="G143" s="1" t="str">
        <x:v>degree_C</x:v>
      </x:c>
      <x:c r="H143" s="1" t="str">
        <x:v>code</x:v>
      </x:c>
      <x:c r="I143" s="1" t="str">
        <x:v>degree_C</x:v>
      </x:c>
      <x:c r="J143" s="1" t="str">
        <x:v>code</x:v>
      </x:c>
      <x:c r="K143" s="1" t="str">
        <x:v>MJ/(m2.d)</x:v>
      </x:c>
      <x:c r="L143" s="1" t="str">
        <x:v>code</x:v>
      </x:c>
      <x:c r="M143" s="1" t="str">
        <x:v>text</x:v>
      </x:c>
      <x:c r="N143" s="1" t="str">
        <x:v>date</x:v>
      </x:c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</x:row>
    <x:row r="144">
      <x:c r="A144" s="2" t="str">
        <x:v>%</x:v>
      </x:c>
      <x:c r="B144" s="2" t="str">
        <x:v>emdew</x:v>
      </x:c>
      <x:c r="C144" s="2"/>
      <x:c r="D144" s="2" t="str">
        <x:v>ECDEW</x:v>
      </x:c>
      <x:c r="E144" s="2" t="str">
        <x:v> EMCO2 </x:v>
      </x:c>
      <x:c r="F144" s="2" t="str">
        <x:v>ecco2</x:v>
      </x:c>
      <x:c r="G144" s="2" t="str">
        <x:v>EMMIN</x:v>
      </x:c>
      <x:c r="H144" s="2" t="str">
        <x:v>ECMIN</x:v>
      </x:c>
      <x:c r="I144" s="2" t="str">
        <x:v>gmmam</x:v>
      </x:c>
      <x:c r="J144" s="2" t="str">
        <x:v> ECMAX </x:v>
      </x:c>
      <x:c r="K144" s="2" t="str">
        <x:v>EMRAD</x:v>
      </x:c>
      <x:c r="L144" s="2" t="str">
        <x:v>ecrad</x:v>
      </x:c>
      <x:c r="M144" s="2" t="str">
        <x:v>ENVM_EME</x:v>
      </x:c>
      <x:c r="N144" s="2" t="str">
        <x:v>EMDATE</x:v>
      </x:c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</x:row>
    <x:row r="145">
      <x:c r="A145" s="1" t="n">
        <x:v>23</x:v>
      </x:c>
      <x:c r="B145" s="1"/>
      <x:c r="C145" s="1"/>
      <x:c r="D145" s="1"/>
      <x:c r="E145" s="1" t="n">
        <x:v>550</x:v>
      </x:c>
      <x:c r="F145" s="1" t="str">
        <x:v>Replace</x:v>
      </x:c>
      <x:c r="G145" s="1"/>
      <x:c r="H145" s="1"/>
      <x:c r="I145" s="1" t="str">
        <x:v>-99</x:v>
      </x:c>
      <x:c r="J145" s="1" t="str">
        <x:v>N/A</x:v>
      </x:c>
      <x:c r="K145" s="1"/>
      <x:c r="L145" s="1"/>
      <x:c r="M145" s="1" t="str">
        <x:v>S0019</x:v>
      </x:c>
      <x:c r="N145" s="1" t="str">
        <x:v>2023-3-10</x:v>
      </x:c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</x:row>
    <x:row r="146">
      <x:c r="A146" s="1" t="n">
        <x:v>41</x:v>
      </x:c>
      <x:c r="B146" s="1"/>
      <x:c r="C146" s="1"/>
      <x:c r="D146" s="1"/>
      <x:c r="E146" s="1"/>
      <x:c r="F146" s="1"/>
      <x:c r="G146" s="1" t="n">
        <x:v>1.5</x:v>
      </x:c>
      <x:c r="H146" s="1" t="str">
        <x:v>Add</x:v>
      </x:c>
      <x:c r="I146" s="1"/>
      <x:c r="J146" s="1"/>
      <x:c r="K146" s="1"/>
      <x:c r="L146" s="1"/>
      <x:c r="M146" s="1" t="str">
        <x:v>S0020</x:v>
      </x:c>
      <x:c r="N146" s="1" t="str">
        <x:v>24111</x:v>
      </x:c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</x:row>
    <x:row r="147">
      <x:c r="A147" s="1" t="n">
        <x:v>59</x:v>
      </x:c>
      <x:c r="B147" s="1"/>
      <x:c r="C147" s="1"/>
      <x:c r="D147" s="1"/>
      <x:c r="E147" s="1"/>
      <x:c r="F147" s="1"/>
      <x:c r="G147" s="1"/>
      <x:c r="H147" s="1"/>
      <x:c r="I147" s="1"/>
      <x:c r="J147" s="1"/>
      <x:c r="K147" s="1" t="n">
        <x:v>0.75</x:v>
      </x:c>
      <x:c r="L147" s="1" t="str">
        <x:v>Multiply</x:v>
      </x:c>
      <x:c r="M147" s="1" t="str">
        <x:v>S0021</x:v>
      </x:c>
      <x:c r="N147" s="3" t="d">
        <x:v>2025-05-12T00:00:00.000Z</x:v>
      </x:c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</x:row>
    <x:row r="148">
      <x:c r="A148" s="1" t="n">
        <x:v>77</x:v>
      </x:c>
      <x:c r="B148" s="1"/>
      <x:c r="C148" s="1"/>
      <x:c r="D148" s="1"/>
      <x:c r="E148" s="1" t="n">
        <x:v>650</x:v>
      </x:c>
      <x:c r="F148" s="1" t="str">
        <x:v>Replace</x:v>
      </x:c>
      <x:c r="G148" s="1"/>
      <x:c r="H148" s="1"/>
      <x:c r="I148" s="1"/>
      <x:c r="J148" s="1"/>
      <x:c r="K148" s="1" t="str">
        <x:v>-99.0</x:v>
      </x:c>
      <x:c r="L148" s="1"/>
      <x:c r="M148" s="1" t="str">
        <x:v>S0022</x:v>
      </x:c>
      <x:c r="N148" s="1" t="str">
        <x:v> 2026-03-18</x:v>
      </x:c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</x:row>
    <x:row r="150">
      <x:c r="A150" s="1" t="str">
        <x:v>! Section</x:v>
      </x:c>
      <x:c r="B150" s="1" t="str">
        <x:v>Environmental_modification_treatment</x:v>
      </x:c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</x:row>
    <x:row r="151">
      <x:c r="A151" s="1" t="str">
        <x:v>! Definitions</x:v>
      </x:c>
      <x:c r="B151" s="1" t="str">
        <x:v>Unique identifier for an environmental modification treatment</x:v>
      </x:c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</x:row>
    <x:row r="152">
      <x:c r="A152" s="1" t="str">
        <x:v>! Units</x:v>
      </x:c>
      <x:c r="B152" s="1" t="str">
        <x:v>text</x:v>
      </x:c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</x:row>
    <x:row r="153">
      <x:c r="A153" s="2" t="str">
        <x:v>#</x:v>
      </x:c>
      <x:c r="B153" s="2" t="str">
        <x:v>ENVMODTR</x:v>
      </x:c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</x:row>
    <x:row r="154">
      <x:c r="A154" s="1" t="n">
        <x:v>23</x:v>
      </x:c>
      <x:c r="B154" s="1" t="str">
        <x:v>S0019</x:v>
      </x:c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</x:row>
    <x:row r="155">
      <x:c r="A155" s="1" t="n">
        <x:v>41</x:v>
      </x:c>
      <x:c r="B155" s="1" t="str">
        <x:v>S0020</x:v>
      </x:c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</x:row>
    <x:row r="156">
      <x:c r="A156" s="1" t="n">
        <x:v>59</x:v>
      </x:c>
      <x:c r="B156" s="1" t="str">
        <x:v>S0021</x:v>
      </x:c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</x:row>
    <x:row r="157">
      <x:c r="A157" s="1" t="n">
        <x:v>77</x:v>
      </x:c>
      <x:c r="B157" s="1" t="str">
        <x:v>S0022</x:v>
      </x:c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</x:row>
    <x:row r="159">
      <x:c r="A159" s="1" t="str">
        <x:v>! Section</x:v>
      </x:c>
      <x:c r="B159" s="1" t="str">
        <x:v>Fertilization_events</x:v>
      </x:c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</x:row>
    <x:row r="160">
      <x:c r="A160" s="1" t="str">
        <x:v>! Definitions</x:v>
      </x:c>
      <x:c r="B160" s="1" t="str">
        <x:v>Nitrogen (elemental) in applied fertilizer</x:v>
      </x:c>
      <x:c r="C160" s="1"/>
      <x:c r="D160" s="1" t="str">
        <x:v>Total amount of fertilizer applied</x:v>
      </x:c>
      <x:c r="E160" s="1" t="str">
        <x:v>Identifier of the fertilization treatment associated with the event</x:v>
      </x:c>
      <x:c r="F160" s="1" t="str">
        <x:v>Fertilization date; use YYYY-MM-DD.</x:v>
      </x:c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</x:row>
    <x:row r="161">
      <x:c r="A161" s="1" t="str">
        <x:v>! Units</x:v>
      </x:c>
      <x:c r="B161" s="1" t="str">
        <x:v>kg[N]/ha</x:v>
      </x:c>
      <x:c r="C161" s="1"/>
      <x:c r="D161" s="1" t="str">
        <x:v>kg[fertilizer]/ha</x:v>
      </x:c>
      <x:c r="E161" s="1" t="str">
        <x:v>text</x:v>
      </x:c>
      <x:c r="F161" s="1" t="str">
        <x:v>date</x:v>
      </x:c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</x:row>
    <x:row r="162">
      <x:c r="A162" s="2" t="str">
        <x:v>%</x:v>
      </x:c>
      <x:c r="B162" s="2" t="str">
        <x:v>FEAMN</x:v>
      </x:c>
      <x:c r="C162" s="2"/>
      <x:c r="D162" s="2" t="str">
        <x:v>feam</x:v>
      </x:c>
      <x:c r="E162" s="2" t="str">
        <x:v>FERTT_FE</x:v>
      </x:c>
      <x:c r="F162" s="2" t="str">
        <x:v>FEDATE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</x:row>
    <x:row r="163">
      <x:c r="A163" s="1" t="n">
        <x:v>17</x:v>
      </x:c>
      <x:c r="B163" s="1" t="n">
        <x:v>30</x:v>
      </x:c>
      <x:c r="C163" s="1"/>
      <x:c r="D163" s="1" t="n">
        <x:v>150</x:v>
      </x:c>
      <x:c r="E163" s="1" t="str">
        <x:v>S0026</x:v>
      </x:c>
      <x:c r="F163" s="1" t="str">
        <x:v>2023-3-10</x:v>
      </x:c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</x:row>
    <x:row r="164">
      <x:c r="A164" s="1" t="n">
        <x:v>17</x:v>
      </x:c>
      <x:c r="B164" s="1" t="n">
        <x:v>30</x:v>
      </x:c>
      <x:c r="C164" s="1"/>
      <x:c r="D164" s="1" t="n">
        <x:v>150</x:v>
      </x:c>
      <x:c r="E164" s="1" t="str">
        <x:v>S0026</x:v>
      </x:c>
      <x:c r="F164" s="1" t="str">
        <x:v>23099</x:v>
      </x:c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</x:row>
    <x:row r="165">
      <x:c r="A165" s="1" t="n">
        <x:v>11</x:v>
      </x:c>
      <x:c r="B165" s="1" t="n">
        <x:v>60</x:v>
      </x:c>
      <x:c r="C165" s="1"/>
      <x:c r="D165" s="1" t="n">
        <x:v>300</x:v>
      </x:c>
      <x:c r="E165" s="1" t="str">
        <x:v>S0027</x:v>
      </x:c>
      <x:c r="F165" s="3" t="d">
        <x:v>2023-03-10T00:00:00.000Z</x:v>
      </x:c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</x:row>
    <x:row r="166">
      <x:c r="A166" s="1" t="n">
        <x:v>23</x:v>
      </x:c>
      <x:c r="B166" s="1" t="n">
        <x:v>60</x:v>
      </x:c>
      <x:c r="C166" s="1"/>
      <x:c r="D166" s="1" t="n">
        <x:v>300</x:v>
      </x:c>
      <x:c r="E166" s="1" t="str">
        <x:v>S0027</x:v>
      </x:c>
      <x:c r="F166" s="1" t="str">
        <x:v> 2023-03-10</x:v>
      </x:c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</x:row>
    <x:row r="167">
      <x:c r="A167" s="1" t="n">
        <x:v>11</x:v>
      </x:c>
      <x:c r="B167" s="1" t="n">
        <x:v>60</x:v>
      </x:c>
      <x:c r="C167" s="1"/>
      <x:c r="D167" s="1" t="n">
        <x:v>300</x:v>
      </x:c>
      <x:c r="E167" s="1" t="str">
        <x:v>S0027</x:v>
      </x:c>
      <x:c r="F167" s="1" t="str">
        <x:v>2023-4-9</x:v>
      </x:c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</x:row>
    <x:row r="168">
      <x:c r="A168" s="1" t="n">
        <x:v>23</x:v>
      </x:c>
      <x:c r="B168" s="1" t="n">
        <x:v>60</x:v>
      </x:c>
      <x:c r="C168" s="1"/>
      <x:c r="D168" s="1" t="n">
        <x:v>300</x:v>
      </x:c>
      <x:c r="E168" s="1" t="str">
        <x:v>S0027</x:v>
      </x:c>
      <x:c r="F168" s="1" t="str">
        <x:v>23099</x:v>
      </x:c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</x:row>
    <x:row r="169">
      <x:c r="A169" s="1" t="n">
        <x:v>35</x:v>
      </x:c>
      <x:c r="B169" s="1" t="n">
        <x:v>30</x:v>
      </x:c>
      <x:c r="C169" s="1"/>
      <x:c r="D169" s="1" t="n">
        <x:v>150</x:v>
      </x:c>
      <x:c r="E169" s="1" t="str">
        <x:v>S0029</x:v>
      </x:c>
      <x:c r="F169" s="3" t="d">
        <x:v>2024-04-20T00:00:00.000Z</x:v>
      </x:c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</x:row>
    <x:row r="170">
      <x:c r="A170" s="1" t="n">
        <x:v>35</x:v>
      </x:c>
      <x:c r="B170" s="1" t="n">
        <x:v>30</x:v>
      </x:c>
      <x:c r="C170" s="1"/>
      <x:c r="D170" s="1" t="n">
        <x:v>150</x:v>
      </x:c>
      <x:c r="E170" s="1" t="str">
        <x:v>S0029</x:v>
      </x:c>
      <x:c r="F170" s="1" t="str">
        <x:v> 2024-05-20</x:v>
      </x:c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</x:row>
    <x:row r="171">
      <x:c r="A171" s="1" t="n">
        <x:v>29</x:v>
      </x:c>
      <x:c r="B171" s="1" t="n">
        <x:v>60</x:v>
      </x:c>
      <x:c r="C171" s="1"/>
      <x:c r="D171" s="1" t="n">
        <x:v>300</x:v>
      </x:c>
      <x:c r="E171" s="1" t="str">
        <x:v>S0030</x:v>
      </x:c>
      <x:c r="F171" s="1" t="str">
        <x:v>2024-4-20</x:v>
      </x:c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</x:row>
    <x:row r="172">
      <x:c r="A172" s="1" t="n">
        <x:v>41</x:v>
      </x:c>
      <x:c r="B172" s="1" t="n">
        <x:v>60</x:v>
      </x:c>
      <x:c r="C172" s="1"/>
      <x:c r="D172" s="1" t="n">
        <x:v>300</x:v>
      </x:c>
      <x:c r="E172" s="1" t="str">
        <x:v>S0030</x:v>
      </x:c>
      <x:c r="F172" s="1" t="str">
        <x:v>24111</x:v>
      </x:c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</x:row>
    <x:row r="173">
      <x:c r="A173" s="1" t="n">
        <x:v>29</x:v>
      </x:c>
      <x:c r="B173" s="1" t="n">
        <x:v>60</x:v>
      </x:c>
      <x:c r="C173" s="1"/>
      <x:c r="D173" s="1" t="n">
        <x:v>300</x:v>
      </x:c>
      <x:c r="E173" s="1" t="str">
        <x:v>S0030</x:v>
      </x:c>
      <x:c r="F173" s="3" t="d">
        <x:v>2024-05-20T00:00:00.000Z</x:v>
      </x:c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</x:row>
    <x:row r="174">
      <x:c r="A174" s="1" t="n">
        <x:v>41</x:v>
      </x:c>
      <x:c r="B174" s="1" t="n">
        <x:v>60</x:v>
      </x:c>
      <x:c r="C174" s="1"/>
      <x:c r="D174" s="1" t="n">
        <x:v>300</x:v>
      </x:c>
      <x:c r="E174" s="1" t="str">
        <x:v>S0030</x:v>
      </x:c>
      <x:c r="F174" s="1" t="str">
        <x:v> 2024-05-20</x:v>
      </x:c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</x:row>
    <x:row r="175">
      <x:c r="A175" s="1" t="n">
        <x:v>53</x:v>
      </x:c>
      <x:c r="B175" s="1" t="n">
        <x:v>30</x:v>
      </x:c>
      <x:c r="C175" s="1"/>
      <x:c r="D175" s="1" t="n">
        <x:v>150</x:v>
      </x:c>
      <x:c r="E175" s="1" t="str">
        <x:v>S0032</x:v>
      </x:c>
      <x:c r="F175" s="1" t="str">
        <x:v>2025-5-12</x:v>
      </x:c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</x:row>
    <x:row r="176">
      <x:c r="A176" s="1" t="n">
        <x:v>53</x:v>
      </x:c>
      <x:c r="B176" s="1" t="n">
        <x:v>30</x:v>
      </x:c>
      <x:c r="C176" s="1"/>
      <x:c r="D176" s="1" t="n">
        <x:v>150</x:v>
      </x:c>
      <x:c r="E176" s="1" t="str">
        <x:v>S0032</x:v>
      </x:c>
      <x:c r="F176" s="1" t="str">
        <x:v>25162</x:v>
      </x:c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</x:row>
    <x:row r="177">
      <x:c r="A177" s="1" t="n">
        <x:v>47</x:v>
      </x:c>
      <x:c r="B177" s="1" t="n">
        <x:v>60</x:v>
      </x:c>
      <x:c r="C177" s="1"/>
      <x:c r="D177" s="1" t="n">
        <x:v>300</x:v>
      </x:c>
      <x:c r="E177" s="1" t="str">
        <x:v>S0033</x:v>
      </x:c>
      <x:c r="F177" s="3" t="d">
        <x:v>2025-05-12T00:00:00.000Z</x:v>
      </x:c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</x:row>
    <x:row r="178">
      <x:c r="A178" s="1" t="n">
        <x:v>59</x:v>
      </x:c>
      <x:c r="B178" s="1" t="n">
        <x:v>60</x:v>
      </x:c>
      <x:c r="C178" s="1"/>
      <x:c r="D178" s="1" t="n">
        <x:v>300</x:v>
      </x:c>
      <x:c r="E178" s="1" t="str">
        <x:v>S0033</x:v>
      </x:c>
      <x:c r="F178" s="1" t="str">
        <x:v> 2025-05-12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</x:row>
    <x:row r="179">
      <x:c r="A179" s="1" t="n">
        <x:v>47</x:v>
      </x:c>
      <x:c r="B179" s="1" t="n">
        <x:v>60</x:v>
      </x:c>
      <x:c r="C179" s="1"/>
      <x:c r="D179" s="1" t="n">
        <x:v>300</x:v>
      </x:c>
      <x:c r="E179" s="1" t="str">
        <x:v>S0033</x:v>
      </x:c>
      <x:c r="F179" s="1" t="str">
        <x:v>2025-6-11</x:v>
      </x:c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</x:row>
    <x:row r="180">
      <x:c r="A180" s="1" t="n">
        <x:v>59</x:v>
      </x:c>
      <x:c r="B180" s="1" t="n">
        <x:v>60</x:v>
      </x:c>
      <x:c r="C180" s="1"/>
      <x:c r="D180" s="1" t="n">
        <x:v>300</x:v>
      </x:c>
      <x:c r="E180" s="1" t="str">
        <x:v>S0033</x:v>
      </x:c>
      <x:c r="F180" s="1" t="str">
        <x:v>25162</x:v>
      </x:c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</x:row>
    <x:row r="181">
      <x:c r="A181" s="1" t="n">
        <x:v>71</x:v>
      </x:c>
      <x:c r="B181" s="1" t="n">
        <x:v>30</x:v>
      </x:c>
      <x:c r="C181" s="1"/>
      <x:c r="D181" s="1" t="n">
        <x:v>150</x:v>
      </x:c>
      <x:c r="E181" s="1" t="str">
        <x:v>S0035</x:v>
      </x:c>
      <x:c r="F181" s="3" t="d">
        <x:v>2026-03-18T00:00:00.000Z</x:v>
      </x:c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</x:row>
    <x:row r="182">
      <x:c r="A182" s="1" t="n">
        <x:v>71</x:v>
      </x:c>
      <x:c r="B182" s="1" t="n">
        <x:v>30</x:v>
      </x:c>
      <x:c r="C182" s="1"/>
      <x:c r="D182" s="1" t="n">
        <x:v>150</x:v>
      </x:c>
      <x:c r="E182" s="1" t="str">
        <x:v>S0035</x:v>
      </x:c>
      <x:c r="F182" s="1" t="str">
        <x:v> 2026-04-17</x:v>
      </x:c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</x:row>
    <x:row r="183">
      <x:c r="A183" s="1" t="n">
        <x:v>65</x:v>
      </x:c>
      <x:c r="B183" s="1" t="n">
        <x:v>60</x:v>
      </x:c>
      <x:c r="C183" s="1"/>
      <x:c r="D183" s="1" t="n">
        <x:v>300</x:v>
      </x:c>
      <x:c r="E183" s="1" t="str">
        <x:v>S0036</x:v>
      </x:c>
      <x:c r="F183" s="1" t="str">
        <x:v>2026-3-18</x:v>
      </x:c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</x:row>
    <x:row r="184">
      <x:c r="A184" s="1" t="n">
        <x:v>77</x:v>
      </x:c>
      <x:c r="B184" s="1" t="n">
        <x:v>60</x:v>
      </x:c>
      <x:c r="C184" s="1"/>
      <x:c r="D184" s="1" t="n">
        <x:v>300</x:v>
      </x:c>
      <x:c r="E184" s="1" t="str">
        <x:v>S0036</x:v>
      </x:c>
      <x:c r="F184" s="1" t="str">
        <x:v>26077</x:v>
      </x:c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</x:row>
    <x:row r="185">
      <x:c r="A185" s="1" t="n">
        <x:v>65</x:v>
      </x:c>
      <x:c r="B185" s="1" t="n">
        <x:v>60</x:v>
      </x:c>
      <x:c r="C185" s="1"/>
      <x:c r="D185" s="1" t="n">
        <x:v>300</x:v>
      </x:c>
      <x:c r="E185" s="1" t="str">
        <x:v>S0036</x:v>
      </x:c>
      <x:c r="F185" s="3" t="d">
        <x:v>2026-04-17T00:00:00.000Z</x:v>
      </x:c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</x:row>
    <x:row r="186">
      <x:c r="A186" s="1" t="n">
        <x:v>77</x:v>
      </x:c>
      <x:c r="B186" s="1" t="n">
        <x:v>60</x:v>
      </x:c>
      <x:c r="C186" s="1"/>
      <x:c r="D186" s="1" t="n">
        <x:v>300</x:v>
      </x:c>
      <x:c r="E186" s="1" t="str">
        <x:v>S0036</x:v>
      </x:c>
      <x:c r="F186" s="1" t="str">
        <x:v> 2026-04-17</x:v>
      </x:c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</x:row>
    <x:row r="188">
      <x:c r="A188" s="1" t="str">
        <x:v>! Section</x:v>
      </x:c>
      <x:c r="B188" s="1" t="str">
        <x:v>Fertilization_treatments</x:v>
      </x:c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</x:row>
    <x:row r="189">
      <x:c r="A189" s="1" t="str">
        <x:v>! Definitions</x:v>
      </x:c>
      <x:c r="B189" s="1" t="str">
        <x:v>Unique identifier for a fertilization treatment</x:v>
      </x:c>
      <x:c r="C189" s="1"/>
      <x:c r="D189" s="1" t="str">
        <x:v>Indicates whether or not fertilizer was applied (Y or N)</x:v>
      </x:c>
      <x:c r="E189" s="1" t="str">
        <x:v>Fertilizer, total amount over season</x:v>
      </x:c>
      <x:c r="F189" s="1" t="str">
        <x:v>Nitrogen, total amount over season, as elemental N</x:v>
      </x:c>
      <x:c r="G189" s="1" t="str">
        <x:v>Total number of fertilizer applications over season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</x:row>
    <x:row r="190">
      <x:c r="A190" s="1" t="str">
        <x:v>! Units</x:v>
      </x:c>
      <x:c r="B190" s="1" t="str">
        <x:v>text</x:v>
      </x:c>
      <x:c r="C190" s="1"/>
      <x:c r="D190" s="1" t="str">
        <x:v>code</x:v>
      </x:c>
      <x:c r="E190" s="1" t="str">
        <x:v>kg[fertilizer]/ha</x:v>
      </x:c>
      <x:c r="F190" s="1" t="str">
        <x:v>kg[N]/ha</x:v>
      </x:c>
      <x:c r="G190" s="1" t="str">
        <x:v>number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</x:row>
    <x:row r="191">
      <x:c r="A191" s="2" t="str">
        <x:v>#</x:v>
      </x:c>
      <x:c r="B191" s="2" t="str">
        <x:v>FERTTRTI</x:v>
      </x:c>
      <x:c r="C191" s="2"/>
      <x:c r="D191" s="2" t="str">
        <x:v>FERTILIZER</x:v>
      </x:c>
      <x:c r="E191" s="2" t="str">
        <x:v>fe_tot</x:v>
      </x:c>
      <x:c r="F191" s="2" t="str">
        <x:v>FEN_TOT</x:v>
      </x:c>
      <x:c r="G191" s="2" t="str">
        <x:v> FE_# </x:v>
      </x:c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</x:row>
    <x:row r="192">
      <x:c r="A192" s="1" t="n">
        <x:v>17</x:v>
      </x:c>
      <x:c r="B192" s="1" t="str">
        <x:v>S0026</x:v>
      </x:c>
      <x:c r="C192" s="1"/>
      <x:c r="D192" s="1" t="str">
        <x:v>Yes</x:v>
      </x:c>
      <x:c r="E192" s="1" t="n">
        <x:v>300</x:v>
      </x:c>
      <x:c r="F192" s="1" t="n">
        <x:v>60</x:v>
      </x:c>
      <x:c r="G192" s="1" t="n">
        <x:v>2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</x:row>
    <x:row r="193">
      <x:c r="A193" s="1" t="n">
        <x:v>11</x:v>
      </x:c>
      <x:c r="B193" s="1" t="str">
        <x:v>S0027</x:v>
      </x:c>
      <x:c r="C193" s="1"/>
      <x:c r="D193" s="1" t="str">
        <x:v>Yes</x:v>
      </x:c>
      <x:c r="E193" s="1" t="str">
        <x:v>-99</x:v>
      </x:c>
      <x:c r="F193" s="1" t="n">
        <x:v>120</x:v>
      </x:c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</x:row>
    <x:row r="194">
      <x:c r="A194" s="1" t="n">
        <x:v>23</x:v>
      </x:c>
      <x:c r="B194" s="1" t="str">
        <x:v>S0027</x:v>
      </x:c>
      <x:c r="C194" s="1"/>
      <x:c r="D194" s="1" t="str">
        <x:v>Yes</x:v>
      </x:c>
      <x:c r="E194" s="1"/>
      <x:c r="F194" s="1" t="n">
        <x:v>120</x:v>
      </x:c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</x:row>
    <x:row r="195">
      <x:c r="A195" s="1" t="n">
        <x:v>35</x:v>
      </x:c>
      <x:c r="B195" s="1" t="str">
        <x:v>S0029</x:v>
      </x:c>
      <x:c r="C195" s="1"/>
      <x:c r="D195" s="1" t="str">
        <x:v>Yes</x:v>
      </x:c>
      <x:c r="E195" s="1" t="n">
        <x:v>300</x:v>
      </x:c>
      <x:c r="F195" s="1" t="n">
        <x:v>60</x:v>
      </x:c>
      <x:c r="G195" s="1" t="n">
        <x:v>2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</x:row>
    <x:row r="196">
      <x:c r="A196" s="1" t="n">
        <x:v>29</x:v>
      </x:c>
      <x:c r="B196" s="1" t="str">
        <x:v>S0030</x:v>
      </x:c>
      <x:c r="C196" s="1"/>
      <x:c r="D196" s="1" t="str">
        <x:v>Yes</x:v>
      </x:c>
      <x:c r="E196" s="1"/>
      <x:c r="F196" s="1" t="n">
        <x:v>120</x:v>
      </x:c>
      <x:c r="G196" s="1" t="str">
        <x:v>-99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</x:row>
    <x:row r="197">
      <x:c r="A197" s="1" t="n">
        <x:v>41</x:v>
      </x:c>
      <x:c r="B197" s="1" t="str">
        <x:v>S0030</x:v>
      </x:c>
      <x:c r="C197" s="1"/>
      <x:c r="D197" s="1" t="str">
        <x:v>Yes</x:v>
      </x:c>
      <x:c r="E197" s="1"/>
      <x:c r="F197" s="1" t="n">
        <x:v>120</x:v>
      </x:c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</x:row>
    <x:row r="198">
      <x:c r="A198" s="1" t="n">
        <x:v>53</x:v>
      </x:c>
      <x:c r="B198" s="1" t="str">
        <x:v>S0032</x:v>
      </x:c>
      <x:c r="C198" s="1"/>
      <x:c r="D198" s="1" t="str">
        <x:v>Yes</x:v>
      </x:c>
      <x:c r="E198" s="1" t="n">
        <x:v>300</x:v>
      </x:c>
      <x:c r="F198" s="1" t="n">
        <x:v>60</x:v>
      </x:c>
      <x:c r="G198" s="1" t="n">
        <x:v>2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</x:row>
    <x:row r="199">
      <x:c r="A199" s="1" t="n">
        <x:v>47</x:v>
      </x:c>
      <x:c r="B199" s="1" t="str">
        <x:v>S0033</x:v>
      </x:c>
      <x:c r="C199" s="1"/>
      <x:c r="D199" s="1" t="str">
        <x:v>Yes</x:v>
      </x:c>
      <x:c r="E199" s="1"/>
      <x:c r="F199" s="1" t="n">
        <x:v>120</x:v>
      </x:c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</x:row>
    <x:row r="200">
      <x:c r="A200" s="1" t="n">
        <x:v>59</x:v>
      </x:c>
      <x:c r="B200" s="1" t="str">
        <x:v>S0033</x:v>
      </x:c>
      <x:c r="C200" s="1"/>
      <x:c r="D200" s="1" t="str">
        <x:v>Yes</x:v>
      </x:c>
      <x:c r="E200" s="1"/>
      <x:c r="F200" s="1" t="n">
        <x:v>120</x:v>
      </x:c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</x:row>
    <x:row r="201">
      <x:c r="A201" s="1" t="n">
        <x:v>71</x:v>
      </x:c>
      <x:c r="B201" s="1" t="str">
        <x:v>S0035</x:v>
      </x:c>
      <x:c r="C201" s="1"/>
      <x:c r="D201" s="1" t="str">
        <x:v>Yes</x:v>
      </x:c>
      <x:c r="E201" s="1" t="n">
        <x:v>300</x:v>
      </x:c>
      <x:c r="F201" s="1" t="n">
        <x:v>60</x:v>
      </x:c>
      <x:c r="G201" s="1" t="n">
        <x:v>2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</x:row>
    <x:row r="202">
      <x:c r="A202" s="1" t="n">
        <x:v>65</x:v>
      </x:c>
      <x:c r="B202" s="1" t="str">
        <x:v>S0036</x:v>
      </x:c>
      <x:c r="C202" s="1"/>
      <x:c r="D202" s="1" t="str">
        <x:v>Yes</x:v>
      </x:c>
      <x:c r="E202" s="1"/>
      <x:c r="F202" s="1" t="n">
        <x:v>120</x:v>
      </x:c>
      <x:c r="G202" s="1" t="str">
        <x:v>-99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</x:row>
    <x:row r="203">
      <x:c r="A203" s="1" t="n">
        <x:v>77</x:v>
      </x:c>
      <x:c r="B203" s="1" t="str">
        <x:v>S0036</x:v>
      </x:c>
      <x:c r="C203" s="1"/>
      <x:c r="D203" s="1" t="str">
        <x:v>Yes</x:v>
      </x:c>
      <x:c r="E203" s="1"/>
      <x:c r="F203" s="1" t="n">
        <x:v>120</x:v>
      </x:c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</x:row>
    <x:row r="205">
      <x:c r="A205" s="1" t="str">
        <x:v>! Section</x:v>
      </x:c>
      <x:c r="B205" s="1" t="str">
        <x:v>Harvest_event_treatments</x:v>
      </x:c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</x:row>
    <x:row r="206">
      <x:c r="A206" s="1" t="str">
        <x:v>! Definitions</x:v>
      </x:c>
      <x:c r="B206" s="1" t="str">
        <x:v>Unique identifier for a harvest treatment</x:v>
      </x:c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</x:row>
    <x:row r="207">
      <x:c r="A207" s="1" t="str">
        <x:v>! Units</x:v>
      </x:c>
      <x:c r="B207" s="1" t="str">
        <x:v>text</x:v>
      </x:c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</x:row>
    <x:row r="208">
      <x:c r="A208" s="2" t="str">
        <x:v>#</x:v>
      </x:c>
      <x:c r="B208" s="2" t="str">
        <x:v>HARVTRTI</x:v>
      </x:c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</x:row>
    <x:row r="209">
      <x:c r="A209" s="1" t="n">
        <x:v>11</x:v>
      </x:c>
      <x:c r="B209" s="1" t="str">
        <x:v>S0055</x:v>
      </x:c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</x:row>
    <x:row r="210">
      <x:c r="A210" s="1" t="n">
        <x:v>17</x:v>
      </x:c>
      <x:c r="B210" s="1" t="str">
        <x:v>S0055</x:v>
      </x:c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</x:row>
    <x:row r="211">
      <x:c r="A211" s="1" t="n">
        <x:v>23</x:v>
      </x:c>
      <x:c r="B211" s="1" t="str">
        <x:v>S0055</x:v>
      </x:c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</x:row>
    <x:row r="212">
      <x:c r="A212" s="1" t="n">
        <x:v>29</x:v>
      </x:c>
      <x:c r="B212" s="1" t="str">
        <x:v>S0056</x:v>
      </x:c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</x:row>
    <x:row r="213">
      <x:c r="A213" s="1" t="n">
        <x:v>35</x:v>
      </x:c>
      <x:c r="B213" s="1" t="str">
        <x:v>S0056</x:v>
      </x:c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</x:row>
    <x:row r="214">
      <x:c r="A214" s="1" t="n">
        <x:v>41</x:v>
      </x:c>
      <x:c r="B214" s="1" t="str">
        <x:v>S0056</x:v>
      </x:c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</x:row>
    <x:row r="215">
      <x:c r="A215" s="1" t="n">
        <x:v>47</x:v>
      </x:c>
      <x:c r="B215" s="1" t="str">
        <x:v>S0057</x:v>
      </x:c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</x:row>
    <x:row r="216">
      <x:c r="A216" s="1" t="n">
        <x:v>53</x:v>
      </x:c>
      <x:c r="B216" s="1" t="str">
        <x:v>S0057</x:v>
      </x:c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</x:row>
    <x:row r="217">
      <x:c r="A217" s="1" t="n">
        <x:v>59</x:v>
      </x:c>
      <x:c r="B217" s="1" t="str">
        <x:v>S0057</x:v>
      </x:c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</x:row>
    <x:row r="218">
      <x:c r="A218" s="1" t="n">
        <x:v>65</x:v>
      </x:c>
      <x:c r="B218" s="1" t="str">
        <x:v>S0058</x:v>
      </x:c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</x:row>
    <x:row r="219">
      <x:c r="A219" s="1" t="n">
        <x:v>71</x:v>
      </x:c>
      <x:c r="B219" s="1" t="str">
        <x:v>S0058</x:v>
      </x:c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</x:row>
    <x:row r="220">
      <x:c r="A220" s="1" t="n">
        <x:v>77</x:v>
      </x:c>
      <x:c r="B220" s="1" t="str">
        <x:v>S0058</x:v>
      </x:c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</x:row>
    <x:row r="222">
      <x:c r="A222" s="1" t="str">
        <x:v>! Section</x:v>
      </x:c>
      <x:c r="B222" s="1" t="str">
        <x:v>Harvest_events</x:v>
      </x:c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</x:row>
    <x:row r="223">
      <x:c r="A223" s="1" t="str">
        <x:v>! Definitions</x:v>
      </x:c>
      <x:c r="B223" s="1" t="str">
        <x:v>Harvest operations date; use YYYY-MM-DD.</x:v>
      </x:c>
      <x:c r="C223" s="1"/>
      <x:c r="D223" s="1" t="str">
        <x:v>Identifier of the harvest treatment associated with the event</x:v>
      </x:c>
      <x:c r="E223" s="1" t="str">
        <x:v>Harvest operations, crop component harvested</x:v>
      </x:c>
      <x:c r="F223" s="1" t="str">
        <x:v>Harvest method</x:v>
      </x:c>
      <x:c r="G223" s="1" t="str">
        <x:v>Harvest, height of cut</x:v>
      </x:c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</x:row>
    <x:row r="224">
      <x:c r="A224" s="1" t="str">
        <x:v>! Units</x:v>
      </x:c>
      <x:c r="B224" s="1" t="str">
        <x:v>date</x:v>
      </x:c>
      <x:c r="C224" s="1"/>
      <x:c r="D224" s="1" t="str">
        <x:v>text</x:v>
      </x:c>
      <x:c r="E224" s="1" t="str">
        <x:v>code</x:v>
      </x:c>
      <x:c r="F224" s="1" t="str">
        <x:v>code</x:v>
      </x:c>
      <x:c r="G224" s="1" t="str">
        <x:v>cm</x:v>
      </x:c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</x:row>
    <x:row r="225">
      <x:c r="A225" s="2" t="str">
        <x:v>%</x:v>
      </x:c>
      <x:c r="B225" s="2" t="str">
        <x:v>HADAT</x:v>
      </x:c>
      <x:c r="C225" s="2"/>
      <x:c r="D225" s="2" t="str">
        <x:v>HARVT_HE</x:v>
      </x:c>
      <x:c r="E225" s="2" t="str">
        <x:v>hacom</x:v>
      </x:c>
      <x:c r="F225" s="2" t="str">
        <x:v>HARM</x:v>
      </x:c>
      <x:c r="G225" s="2" t="str">
        <x:v> HAHT </x:v>
      </x:c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</x:row>
    <x:row r="226">
      <x:c r="A226" s="1" t="n">
        <x:v>11</x:v>
      </x:c>
      <x:c r="B226" s="1" t="str">
        <x:v>2023-7-8</x:v>
      </x:c>
      <x:c r="C226" s="1"/>
      <x:c r="D226" s="1" t="str">
        <x:v>S0055</x:v>
      </x:c>
      <x:c r="E226" s="1" t="str">
        <x:v>grain</x:v>
      </x:c>
      <x:c r="F226" s="1" t="str">
        <x:v>Combined</x:v>
      </x:c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</x:row>
    <x:row r="227">
      <x:c r="A227" s="1" t="n">
        <x:v>17</x:v>
      </x:c>
      <x:c r="B227" s="1" t="str">
        <x:v>23189</x:v>
      </x:c>
      <x:c r="C227" s="1"/>
      <x:c r="D227" s="1" t="str">
        <x:v>S0055</x:v>
      </x:c>
      <x:c r="E227" s="1" t="str">
        <x:v>grain</x:v>
      </x:c>
      <x:c r="F227" s="1" t="str">
        <x:v>Combined</x:v>
      </x:c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</x:row>
    <x:row r="228">
      <x:c r="A228" s="1" t="n">
        <x:v>23</x:v>
      </x:c>
      <x:c r="B228" s="3" t="d">
        <x:v>2023-07-08T00:00:00.000Z</x:v>
      </x:c>
      <x:c r="C228" s="1"/>
      <x:c r="D228" s="1" t="str">
        <x:v>S0055</x:v>
      </x:c>
      <x:c r="E228" s="1" t="str">
        <x:v>grain</x:v>
      </x:c>
      <x:c r="F228" s="1" t="str">
        <x:v>Combined</x:v>
      </x:c>
      <x:c r="G228" s="1" t="str">
        <x:v>-99.0</x:v>
      </x:c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</x:row>
    <x:row r="229">
      <x:c r="A229" s="1" t="n">
        <x:v>29</x:v>
      </x:c>
      <x:c r="B229" s="1" t="str">
        <x:v> 2024-08-28</x:v>
      </x:c>
      <x:c r="C229" s="1"/>
      <x:c r="D229" s="1" t="str">
        <x:v>S0056</x:v>
      </x:c>
      <x:c r="E229" s="1" t="str">
        <x:v>grain</x:v>
      </x:c>
      <x:c r="F229" s="1" t="str">
        <x:v>Combined</x:v>
      </x:c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</x:row>
    <x:row r="230">
      <x:c r="A230" s="1" t="n">
        <x:v>35</x:v>
      </x:c>
      <x:c r="B230" s="1" t="str">
        <x:v>2024-8-28</x:v>
      </x:c>
      <x:c r="C230" s="1"/>
      <x:c r="D230" s="1" t="str">
        <x:v>S0056</x:v>
      </x:c>
      <x:c r="E230" s="1" t="str">
        <x:v>grain</x:v>
      </x:c>
      <x:c r="F230" s="1" t="str">
        <x:v>Combined</x:v>
      </x:c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</x:row>
    <x:row r="231">
      <x:c r="A231" s="1" t="n">
        <x:v>41</x:v>
      </x:c>
      <x:c r="B231" s="1" t="str">
        <x:v>24241</x:v>
      </x:c>
      <x:c r="C231" s="1"/>
      <x:c r="D231" s="1" t="str">
        <x:v>S0056</x:v>
      </x:c>
      <x:c r="E231" s="1" t="str">
        <x:v>grain</x:v>
      </x:c>
      <x:c r="F231" s="1" t="str">
        <x:v>Combined</x:v>
      </x:c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</x:row>
    <x:row r="232">
      <x:c r="A232" s="1" t="n">
        <x:v>47</x:v>
      </x:c>
      <x:c r="B232" s="3" t="d">
        <x:v>2025-08-30T00:00:00.000Z</x:v>
      </x:c>
      <x:c r="C232" s="1"/>
      <x:c r="D232" s="1" t="str">
        <x:v>S0057</x:v>
      </x:c>
      <x:c r="E232" s="1" t="str">
        <x:v>grain</x:v>
      </x:c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</x:row>
    <x:row r="233">
      <x:c r="A233" s="1" t="n">
        <x:v>53</x:v>
      </x:c>
      <x:c r="B233" s="1" t="str">
        <x:v> 2025-08-30</x:v>
      </x:c>
      <x:c r="C233" s="1"/>
      <x:c r="D233" s="1" t="str">
        <x:v>S0057</x:v>
      </x:c>
      <x:c r="E233" s="1" t="str">
        <x:v>grain</x:v>
      </x:c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</x:row>
    <x:row r="234">
      <x:c r="A234" s="1" t="n">
        <x:v>59</x:v>
      </x:c>
      <x:c r="B234" s="1" t="str">
        <x:v>2025-8-30</x:v>
      </x:c>
      <x:c r="C234" s="1"/>
      <x:c r="D234" s="1" t="str">
        <x:v>S0057</x:v>
      </x:c>
      <x:c r="E234" s="1" t="str">
        <x:v>grain</x:v>
      </x:c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</x:row>
    <x:row r="235">
      <x:c r="A235" s="1" t="n">
        <x:v>65</x:v>
      </x:c>
      <x:c r="B235" s="1" t="str">
        <x:v>26202</x:v>
      </x:c>
      <x:c r="C235" s="1"/>
      <x:c r="D235" s="1" t="str">
        <x:v>S0058</x:v>
      </x:c>
      <x:c r="E235" s="1" t="str">
        <x:v>grain</x:v>
      </x:c>
      <x:c r="F235" s="1" t="str">
        <x:v>Combined</x:v>
      </x:c>
      <x:c r="G235" s="1" t="str">
        <x:v>-99</x:v>
      </x:c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</x:row>
    <x:row r="236">
      <x:c r="A236" s="1" t="n">
        <x:v>71</x:v>
      </x:c>
      <x:c r="B236" s="3" t="d">
        <x:v>2026-07-21T00:00:00.000Z</x:v>
      </x:c>
      <x:c r="C236" s="1"/>
      <x:c r="D236" s="1" t="str">
        <x:v>S0058</x:v>
      </x:c>
      <x:c r="E236" s="1" t="str">
        <x:v>grain</x:v>
      </x:c>
      <x:c r="F236" s="1" t="str">
        <x:v>Combined</x:v>
      </x:c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</x:row>
    <x:row r="237">
      <x:c r="A237" s="1" t="n">
        <x:v>77</x:v>
      </x:c>
      <x:c r="B237" s="1" t="str">
        <x:v> 2026-07-21</x:v>
      </x:c>
      <x:c r="C237" s="1"/>
      <x:c r="D237" s="1" t="str">
        <x:v>S0058</x:v>
      </x:c>
      <x:c r="E237" s="1" t="str">
        <x:v>grain</x:v>
      </x:c>
      <x:c r="F237" s="1" t="str">
        <x:v>Combined</x:v>
      </x:c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</x:row>
    <x:row r="239">
      <x:c r="A239" s="1" t="str">
        <x:v>! Section</x:v>
      </x:c>
      <x:c r="B239" s="1" t="str">
        <x:v>Initial_conditions</x:v>
      </x:c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</x:row>
    <x:row r="240">
      <x:c r="A240" s="1" t="str">
        <x:v>! Definitions</x:v>
      </x:c>
      <x:c r="B240" s="1" t="str">
        <x:v>Initial profile inorganic nitrogen amount</x:v>
      </x:c>
      <x:c r="C240" s="1"/>
      <x:c r="D240" s="1" t="str">
        <x:v>Initial water content of entire profile, expressed as percent of available water</x:v>
      </x:c>
      <x:c r="E240" s="1" t="str">
        <x:v>Residue above-ground weight, dry weight basis</x:v>
      </x:c>
      <x:c r="F240" s="1" t="str">
        <x:v>Unique identifier for an initial conditions treatment</x:v>
      </x:c>
      <x:c r="G240" s="1" t="str">
        <x:v>Initial conditions measurement date; use YYYY-MM-DD.</x:v>
      </x:c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</x:row>
    <x:row r="241">
      <x:c r="A241" s="1" t="str">
        <x:v>! Units</x:v>
      </x:c>
      <x:c r="B241" s="1" t="str">
        <x:v>kg[N]/ha</x:v>
      </x:c>
      <x:c r="C241" s="1"/>
      <x:c r="D241" s="1" t="str">
        <x:v>%</x:v>
      </x:c>
      <x:c r="E241" s="1" t="str">
        <x:v>kg/ha</x:v>
      </x:c>
      <x:c r="F241" s="1" t="str">
        <x:v>text</x:v>
      </x:c>
      <x:c r="G241" s="1" t="str">
        <x:v>date</x:v>
      </x:c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</x:row>
    <x:row r="242">
      <x:c r="A242" s="2" t="str">
        <x:v>%</x:v>
      </x:c>
      <x:c r="B242" s="2" t="str">
        <x:v> ICIN </x:v>
      </x:c>
      <x:c r="C242" s="2"/>
      <x:c r="D242" s="2" t="str">
        <x:v>ICSW%</x:v>
      </x:c>
      <x:c r="E242" s="2" t="str">
        <x:v>icrag</x:v>
      </x:c>
      <x:c r="F242" s="2" t="str">
        <x:v>INITCOND</x:v>
      </x:c>
      <x:c r="G242" s="2" t="str">
        <x:v>ICDAT</x:v>
      </x:c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</x:row>
    <x:row r="243">
      <x:c r="A243" s="1" t="n">
        <x:v>11</x:v>
      </x:c>
      <x:c r="B243" s="1" t="str">
        <x:v>-99.0</x:v>
      </x:c>
      <x:c r="C243" s="1"/>
      <x:c r="D243" s="1" t="n">
        <x:v>57</x:v>
      </x:c>
      <x:c r="E243" s="1" t="n">
        <x:v>950</x:v>
      </x:c>
      <x:c r="F243" s="1" t="str">
        <x:v>S0069</x:v>
      </x:c>
      <x:c r="G243" s="1" t="str">
        <x:v>2023-3-3</x:v>
      </x:c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</x:row>
    <x:row r="244">
      <x:c r="A244" s="1" t="n">
        <x:v>17</x:v>
      </x:c>
      <x:c r="B244" s="1"/>
      <x:c r="C244" s="1"/>
      <x:c r="D244" s="1" t="n">
        <x:v>57</x:v>
      </x:c>
      <x:c r="E244" s="1" t="n">
        <x:v>950</x:v>
      </x:c>
      <x:c r="F244" s="1" t="str">
        <x:v>S0069</x:v>
      </x:c>
      <x:c r="G244" s="1" t="str">
        <x:v>23062</x:v>
      </x:c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</x:row>
    <x:row r="245">
      <x:c r="A245" s="1" t="n">
        <x:v>23</x:v>
      </x:c>
      <x:c r="B245" s="1"/>
      <x:c r="C245" s="1"/>
      <x:c r="D245" s="1" t="n">
        <x:v>57</x:v>
      </x:c>
      <x:c r="E245" s="1" t="n">
        <x:v>950</x:v>
      </x:c>
      <x:c r="F245" s="1" t="str">
        <x:v>S0069</x:v>
      </x:c>
      <x:c r="G245" s="3" t="d">
        <x:v>2023-03-03T00:00:00.000Z</x:v>
      </x:c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</x:row>
    <x:row r="246">
      <x:c r="A246" s="1" t="n">
        <x:v>29</x:v>
      </x:c>
      <x:c r="B246" s="1"/>
      <x:c r="C246" s="1"/>
      <x:c r="D246" s="1" t="n">
        <x:v>59</x:v>
      </x:c>
      <x:c r="E246" s="1" t="n">
        <x:v>1050</x:v>
      </x:c>
      <x:c r="F246" s="1" t="str">
        <x:v>S0070</x:v>
      </x:c>
      <x:c r="G246" s="1" t="str">
        <x:v> 2024-04-13</x:v>
      </x:c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</x:row>
    <x:row r="247">
      <x:c r="A247" s="1" t="n">
        <x:v>35</x:v>
      </x:c>
      <x:c r="B247" s="1"/>
      <x:c r="C247" s="1"/>
      <x:c r="D247" s="1" t="n">
        <x:v>59</x:v>
      </x:c>
      <x:c r="E247" s="1" t="n">
        <x:v>1050</x:v>
      </x:c>
      <x:c r="F247" s="1" t="str">
        <x:v>S0070</x:v>
      </x:c>
      <x:c r="G247" s="1" t="str">
        <x:v>2024-4-13</x:v>
      </x:c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</x:row>
    <x:row r="248">
      <x:c r="A248" s="1" t="n">
        <x:v>41</x:v>
      </x:c>
      <x:c r="B248" s="1"/>
      <x:c r="C248" s="1"/>
      <x:c r="D248" s="1" t="n">
        <x:v>59</x:v>
      </x:c>
      <x:c r="E248" s="1" t="n">
        <x:v>1050</x:v>
      </x:c>
      <x:c r="F248" s="1" t="str">
        <x:v>S0070</x:v>
      </x:c>
      <x:c r="G248" s="1" t="str">
        <x:v>24104</x:v>
      </x:c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</x:row>
    <x:row r="249">
      <x:c r="A249" s="1" t="n">
        <x:v>47</x:v>
      </x:c>
      <x:c r="B249" s="1"/>
      <x:c r="C249" s="1"/>
      <x:c r="D249" s="1" t="n">
        <x:v>61</x:v>
      </x:c>
      <x:c r="E249" s="1" t="n">
        <x:v>1150</x:v>
      </x:c>
      <x:c r="F249" s="1" t="str">
        <x:v>S0071</x:v>
      </x:c>
      <x:c r="G249" s="3" t="d">
        <x:v>2025-05-05T00:00:00.000Z</x:v>
      </x:c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</x:row>
    <x:row r="250">
      <x:c r="A250" s="1" t="n">
        <x:v>53</x:v>
      </x:c>
      <x:c r="B250" s="1"/>
      <x:c r="C250" s="1"/>
      <x:c r="D250" s="1" t="n">
        <x:v>61</x:v>
      </x:c>
      <x:c r="E250" s="1" t="n">
        <x:v>1150</x:v>
      </x:c>
      <x:c r="F250" s="1" t="str">
        <x:v>S0071</x:v>
      </x:c>
      <x:c r="G250" s="1" t="str">
        <x:v> 2025-05-05</x:v>
      </x:c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</x:row>
    <x:row r="251">
      <x:c r="A251" s="1" t="n">
        <x:v>59</x:v>
      </x:c>
      <x:c r="B251" s="1"/>
      <x:c r="C251" s="1"/>
      <x:c r="D251" s="1" t="n">
        <x:v>61</x:v>
      </x:c>
      <x:c r="E251" s="1" t="n">
        <x:v>1150</x:v>
      </x:c>
      <x:c r="F251" s="1" t="str">
        <x:v>S0071</x:v>
      </x:c>
      <x:c r="G251" s="1" t="str">
        <x:v>2025-5-5</x:v>
      </x:c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</x:row>
    <x:row r="252">
      <x:c r="A252" s="1" t="n">
        <x:v>65</x:v>
      </x:c>
      <x:c r="B252" s="1"/>
      <x:c r="C252" s="1"/>
      <x:c r="D252" s="1" t="n">
        <x:v>63</x:v>
      </x:c>
      <x:c r="E252" s="1" t="n">
        <x:v>1250</x:v>
      </x:c>
      <x:c r="F252" s="1" t="str">
        <x:v>S0072</x:v>
      </x:c>
      <x:c r="G252" s="1" t="str">
        <x:v>26070</x:v>
      </x:c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</x:row>
    <x:row r="253">
      <x:c r="A253" s="1" t="n">
        <x:v>71</x:v>
      </x:c>
      <x:c r="B253" s="1"/>
      <x:c r="C253" s="1"/>
      <x:c r="D253" s="1" t="n">
        <x:v>63</x:v>
      </x:c>
      <x:c r="E253" s="1" t="n">
        <x:v>1250</x:v>
      </x:c>
      <x:c r="F253" s="1" t="str">
        <x:v>S0072</x:v>
      </x:c>
      <x:c r="G253" s="3" t="d">
        <x:v>2026-03-11T00:00:00.000Z</x:v>
      </x:c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</x:row>
    <x:row r="254">
      <x:c r="A254" s="1" t="n">
        <x:v>77</x:v>
      </x:c>
      <x:c r="B254" s="1" t="str">
        <x:v>-99.0</x:v>
      </x:c>
      <x:c r="C254" s="1"/>
      <x:c r="D254" s="1" t="n">
        <x:v>63</x:v>
      </x:c>
      <x:c r="E254" s="1" t="n">
        <x:v>1250</x:v>
      </x:c>
      <x:c r="F254" s="1" t="str">
        <x:v>S0072</x:v>
      </x:c>
      <x:c r="G254" s="1" t="str">
        <x:v> 2026-03-11</x:v>
      </x:c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</x:row>
    <x:row r="256">
      <x:c r="A256" s="1" t="str">
        <x:v>! Section</x:v>
      </x:c>
      <x:c r="B256" s="1" t="str">
        <x:v>Initial_conditions_layer</x:v>
      </x:c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</x:row>
    <x:row r="257">
      <x:c r="A257" s="1" t="str">
        <x:v>! Definitions</x:v>
      </x:c>
      <x:c r="B257" s="1" t="str">
        <x:v>Initial conditions measurement date; use YYYY-MM-DD.</x:v>
      </x:c>
      <x:c r="C257" s="1"/>
      <x:c r="D257" s="1" t="str">
        <x:v>Identifier of the initial conditions treatment associated with the soil layer</x:v>
      </x:c>
      <x:c r="E257" s="1" t="str">
        <x:v>Soil layer depth to upper boundary of sample (top)</x:v>
      </x:c>
      <x:c r="F257" s="1" t="str">
        <x:v>Soil layer depth to lower boundary of sample (bottom)</x:v>
      </x:c>
      <x:c r="G257" s="1" t="str">
        <x:v>One or more represented plot_season_id values for this observation or layer row. Use a single ID for a single plot-season; use multiple IDs only for a broader observation. The API stores the trimmed, duplicate-free list in lexicographic order.</x:v>
      </x:c>
      <x:c r="H257" s="1" t="str">
        <x:v>Initial water concentration by layer</x:v>
      </x:c>
      <x:c r="I257" s="1" t="str">
        <x:v>Initial NO3 conc., as elemental N on dry wt. basis, by layer</x:v>
      </x:c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</x:row>
    <x:row r="258">
      <x:c r="A258" s="1" t="str">
        <x:v>! Units</x:v>
      </x:c>
      <x:c r="B258" s="1" t="str">
        <x:v>date</x:v>
      </x:c>
      <x:c r="C258" s="1"/>
      <x:c r="D258" s="1" t="str">
        <x:v>text</x:v>
      </x:c>
      <x:c r="E258" s="1" t="str">
        <x:v>cm</x:v>
      </x:c>
      <x:c r="F258" s="1" t="str">
        <x:v>cm</x:v>
      </x:c>
      <x:c r="G258" s="1" t="str">
        <x:v>text</x:v>
      </x:c>
      <x:c r="H258" s="1" t="str">
        <x:v>unitless</x:v>
      </x:c>
      <x:c r="I258" s="1" t="str">
        <x:v>ppm</x:v>
      </x:c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</x:row>
    <x:row r="259">
      <x:c r="A259" s="2" t="str">
        <x:v>%</x:v>
      </x:c>
      <x:c r="B259" s="2" t="str">
        <x:v>ICDAT</x:v>
      </x:c>
      <x:c r="C259" s="2"/>
      <x:c r="D259" s="2" t="str">
        <x:v>INIT_ICL</x:v>
      </x:c>
      <x:c r="E259" s="2" t="str">
        <x:v>sldub</x:v>
      </x:c>
      <x:c r="F259" s="2" t="str">
        <x:v>SLDLB</x:v>
      </x:c>
      <x:c r="G259" s="2" t="str">
        <x:v> GRPP_ICL </x:v>
      </x:c>
      <x:c r="H259" s="2" t="str">
        <x:v>ich2o</x:v>
      </x:c>
      <x:c r="I259" s="2" t="str">
        <x:v>ICNO3</x:v>
      </x:c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</x:row>
    <x:row r="260">
      <x:c r="A260" s="1" t="n">
        <x:v>11</x:v>
      </x:c>
      <x:c r="B260" s="1" t="str">
        <x:v>2023-3-3</x:v>
      </x:c>
      <x:c r="C260" s="1"/>
      <x:c r="D260" s="1" t="str">
        <x:v>S0069</x:v>
      </x:c>
      <x:c r="E260" s="1" t="n">
        <x:v>0</x:v>
      </x:c>
      <x:c r="F260" s="1" t="n">
        <x:v>20</x:v>
      </x:c>
      <x:c r="G260" s="1" t="str">
        <x:v>11;17;23</x:v>
      </x:c>
      <x:c r="H260" s="1" t="n">
        <x:v>0.21</x:v>
      </x:c>
      <x:c r="I260" s="1" t="n">
        <x:v>5.5</x:v>
      </x:c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</x:row>
    <x:row r="261">
      <x:c r="A261" s="1" t="n">
        <x:v>11</x:v>
      </x:c>
      <x:c r="B261" s="1" t="str">
        <x:v>23062</x:v>
      </x:c>
      <x:c r="C261" s="1"/>
      <x:c r="D261" s="1" t="str">
        <x:v>S0069</x:v>
      </x:c>
      <x:c r="E261" s="1" t="n">
        <x:v>20</x:v>
      </x:c>
      <x:c r="F261" s="1" t="n">
        <x:v>40</x:v>
      </x:c>
      <x:c r="G261" s="1" t="str">
        <x:v>11;17;23</x:v>
      </x:c>
      <x:c r="H261" s="1" t="n">
        <x:v>0.22</x:v>
      </x:c>
      <x:c r="I261" s="1" t="n">
        <x:v>5.1</x:v>
      </x:c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</x:row>
    <x:row r="262">
      <x:c r="A262" s="1" t="n">
        <x:v>29</x:v>
      </x:c>
      <x:c r="B262" s="3" t="d">
        <x:v>2024-04-13T00:00:00.000Z</x:v>
      </x:c>
      <x:c r="C262" s="1"/>
      <x:c r="D262" s="1" t="str">
        <x:v>S0070</x:v>
      </x:c>
      <x:c r="E262" s="1" t="n">
        <x:v>0</x:v>
      </x:c>
      <x:c r="F262" s="1" t="n">
        <x:v>20</x:v>
      </x:c>
      <x:c r="G262" s="1" t="str">
        <x:v>29;35;41</x:v>
      </x:c>
      <x:c r="H262" s="1" t="n">
        <x:v>0.215</x:v>
      </x:c>
      <x:c r="I262" s="1" t="n">
        <x:v>5.7</x:v>
      </x:c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</x:row>
    <x:row r="263">
      <x:c r="A263" s="1" t="n">
        <x:v>29</x:v>
      </x:c>
      <x:c r="B263" s="1" t="str">
        <x:v> 2024-04-13</x:v>
      </x:c>
      <x:c r="C263" s="1"/>
      <x:c r="D263" s="1" t="str">
        <x:v>S0070</x:v>
      </x:c>
      <x:c r="E263" s="1" t="n">
        <x:v>20</x:v>
      </x:c>
      <x:c r="F263" s="1" t="n">
        <x:v>40</x:v>
      </x:c>
      <x:c r="G263" s="1" t="str">
        <x:v>29;35;41</x:v>
      </x:c>
      <x:c r="H263" s="1" t="n">
        <x:v>0.225</x:v>
      </x:c>
      <x:c r="I263" s="1" t="n">
        <x:v>5.3</x:v>
      </x:c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</x:row>
    <x:row r="264">
      <x:c r="A264" s="1" t="n">
        <x:v>47</x:v>
      </x:c>
      <x:c r="B264" s="1" t="str">
        <x:v>2025-5-5</x:v>
      </x:c>
      <x:c r="C264" s="1"/>
      <x:c r="D264" s="1" t="str">
        <x:v>S0071</x:v>
      </x:c>
      <x:c r="E264" s="1" t="n">
        <x:v>0</x:v>
      </x:c>
      <x:c r="F264" s="1" t="n">
        <x:v>20</x:v>
      </x:c>
      <x:c r="G264" s="1" t="str">
        <x:v>47;53;59</x:v>
      </x:c>
      <x:c r="H264" s="1" t="n">
        <x:v>0.22</x:v>
      </x:c>
      <x:c r="I264" s="1" t="n">
        <x:v>5.9</x:v>
      </x:c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</x:row>
    <x:row r="265">
      <x:c r="A265" s="1" t="n">
        <x:v>47</x:v>
      </x:c>
      <x:c r="B265" s="1" t="str">
        <x:v>25125</x:v>
      </x:c>
      <x:c r="C265" s="1"/>
      <x:c r="D265" s="1" t="str">
        <x:v>S0071</x:v>
      </x:c>
      <x:c r="E265" s="1" t="n">
        <x:v>20</x:v>
      </x:c>
      <x:c r="F265" s="1" t="n">
        <x:v>40</x:v>
      </x:c>
      <x:c r="G265" s="1" t="str">
        <x:v>47;53;59</x:v>
      </x:c>
      <x:c r="H265" s="1" t="n">
        <x:v>0.23</x:v>
      </x:c>
      <x:c r="I265" s="1" t="n">
        <x:v>5.5</x:v>
      </x:c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</x:row>
    <x:row r="266">
      <x:c r="A266" s="1" t="n">
        <x:v>65</x:v>
      </x:c>
      <x:c r="B266" s="3" t="d">
        <x:v>2026-03-11T00:00:00.000Z</x:v>
      </x:c>
      <x:c r="C266" s="1"/>
      <x:c r="D266" s="1" t="str">
        <x:v>S0072</x:v>
      </x:c>
      <x:c r="E266" s="1" t="n">
        <x:v>0</x:v>
      </x:c>
      <x:c r="F266" s="1" t="n">
        <x:v>20</x:v>
      </x:c>
      <x:c r="G266" s="1" t="str">
        <x:v>65;71;77</x:v>
      </x:c>
      <x:c r="H266" s="1" t="n">
        <x:v>0.225</x:v>
      </x:c>
      <x:c r="I266" s="1" t="n">
        <x:v>6.1</x:v>
      </x:c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</x:row>
    <x:row r="267">
      <x:c r="A267" s="1" t="n">
        <x:v>65</x:v>
      </x:c>
      <x:c r="B267" s="1" t="str">
        <x:v> 2026-03-11</x:v>
      </x:c>
      <x:c r="C267" s="1"/>
      <x:c r="D267" s="1" t="str">
        <x:v>S0072</x:v>
      </x:c>
      <x:c r="E267" s="1" t="n">
        <x:v>20</x:v>
      </x:c>
      <x:c r="F267" s="1" t="n">
        <x:v>40</x:v>
      </x:c>
      <x:c r="G267" s="1" t="str">
        <x:v>65;71;77</x:v>
      </x:c>
      <x:c r="H267" s="1" t="n">
        <x:v>0.235</x:v>
      </x:c>
      <x:c r="I267" s="1" t="n">
        <x:v>5.7</x:v>
      </x:c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</x:row>
    <x:row r="269">
      <x:c r="A269" s="1" t="str">
        <x:v>! Section</x:v>
      </x:c>
      <x:c r="B269" s="1" t="str">
        <x:v>Irrigation_events</x:v>
      </x:c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</x:row>
    <x:row r="270">
      <x:c r="A270" s="1" t="str">
        <x:v>! Definitions</x:v>
      </x:c>
      <x:c r="B270" s="1" t="str">
        <x:v>Irrigation operation (e.g., furrow, sprinkler, drip__)</x:v>
      </x:c>
      <x:c r="C270" s="1"/>
      <x:c r="D270" s="1" t="str">
        <x:v>Irrigation amount, depth of water</x:v>
      </x:c>
      <x:c r="E270" s="1" t="str">
        <x:v>Identifier of the irrigation treatment associated with the event</x:v>
      </x:c>
      <x:c r="F270" s="1" t="str">
        <x:v>Irrigation date; use YYYY-MM-DD.</x:v>
      </x:c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</x:row>
    <x:row r="271">
      <x:c r="A271" s="1" t="str">
        <x:v>! Units</x:v>
      </x:c>
      <x:c r="B271" s="1" t="str">
        <x:v>code</x:v>
      </x:c>
      <x:c r="C271" s="1"/>
      <x:c r="D271" s="1" t="str">
        <x:v>mm</x:v>
      </x:c>
      <x:c r="E271" s="1" t="str">
        <x:v>text</x:v>
      </x:c>
      <x:c r="F271" s="1" t="str">
        <x:v>date</x:v>
      </x:c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</x:row>
    <x:row r="272">
      <x:c r="A272" s="2" t="str">
        <x:v>%</x:v>
      </x:c>
      <x:c r="B272" s="2" t="str">
        <x:v>IROP</x:v>
      </x:c>
      <x:c r="C272" s="2"/>
      <x:c r="D272" s="2" t="str">
        <x:v>irval</x:v>
      </x:c>
      <x:c r="E272" s="2" t="str">
        <x:v>IRRT_IRE</x:v>
      </x:c>
      <x:c r="F272" s="2" t="str">
        <x:v>IDATE</x:v>
      </x:c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</x:row>
    <x:row r="273">
      <x:c r="A273" s="1" t="n">
        <x:v>35</x:v>
      </x:c>
      <x:c r="B273" s="1" t="str">
        <x:v>Sprinkler, mm</x:v>
      </x:c>
      <x:c r="C273" s="1"/>
      <x:c r="D273" s="1" t="n">
        <x:v>25</x:v>
      </x:c>
      <x:c r="E273" s="1" t="str">
        <x:v>S0079</x:v>
      </x:c>
      <x:c r="F273" s="1" t="str">
        <x:v>2024-5-5</x:v>
      </x:c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</x:row>
    <x:row r="274">
      <x:c r="A274" s="1" t="n">
        <x:v>41</x:v>
      </x:c>
      <x:c r="B274" s="1" t="str">
        <x:v>Sprinkler, mm</x:v>
      </x:c>
      <x:c r="C274" s="1"/>
      <x:c r="D274" s="1" t="n">
        <x:v>25</x:v>
      </x:c>
      <x:c r="E274" s="1" t="str">
        <x:v>S0079</x:v>
      </x:c>
      <x:c r="F274" s="1" t="str">
        <x:v>24126</x:v>
      </x:c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</x:row>
    <x:row r="275">
      <x:c r="A275" s="1" t="n">
        <x:v>35</x:v>
      </x:c>
      <x:c r="B275" s="1" t="str">
        <x:v>Sprinkler, mm</x:v>
      </x:c>
      <x:c r="C275" s="1"/>
      <x:c r="D275" s="1" t="n">
        <x:v>30</x:v>
      </x:c>
      <x:c r="E275" s="1" t="str">
        <x:v>S0079</x:v>
      </x:c>
      <x:c r="F275" s="3" t="d">
        <x:v>2024-05-30T00:00:00.000Z</x:v>
      </x:c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</x:row>
    <x:row r="276">
      <x:c r="A276" s="1" t="n">
        <x:v>41</x:v>
      </x:c>
      <x:c r="B276" s="1" t="str">
        <x:v>Sprinkler, mm</x:v>
      </x:c>
      <x:c r="C276" s="1"/>
      <x:c r="D276" s="1" t="n">
        <x:v>30</x:v>
      </x:c>
      <x:c r="E276" s="1" t="str">
        <x:v>S0079</x:v>
      </x:c>
      <x:c r="F276" s="1" t="str">
        <x:v> 2024-05-30</x:v>
      </x:c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</x:row>
    <x:row r="277">
      <x:c r="A277" s="1" t="n">
        <x:v>53</x:v>
      </x:c>
      <x:c r="B277" s="1" t="str">
        <x:v>Drip or trickle, mm</x:v>
      </x:c>
      <x:c r="C277" s="1"/>
      <x:c r="D277" s="1" t="n">
        <x:v>12</x:v>
      </x:c>
      <x:c r="E277" s="1" t="str">
        <x:v>S0080</x:v>
      </x:c>
      <x:c r="F277" s="1" t="str">
        <x:v>2025-5-22</x:v>
      </x:c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</x:row>
    <x:row r="278">
      <x:c r="A278" s="1" t="n">
        <x:v>59</x:v>
      </x:c>
      <x:c r="B278" s="1" t="str">
        <x:v>Drip or trickle, mm</x:v>
      </x:c>
      <x:c r="C278" s="1"/>
      <x:c r="D278" s="1" t="n">
        <x:v>12</x:v>
      </x:c>
      <x:c r="E278" s="1" t="str">
        <x:v>S0080</x:v>
      </x:c>
      <x:c r="F278" s="1" t="str">
        <x:v>25142</x:v>
      </x:c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</x:row>
    <x:row r="279">
      <x:c r="A279" s="1" t="n">
        <x:v>53</x:v>
      </x:c>
      <x:c r="B279" s="1" t="str">
        <x:v>Drip or trickle, mm</x:v>
      </x:c>
      <x:c r="C279" s="1"/>
      <x:c r="D279" s="1" t="n">
        <x:v>12</x:v>
      </x:c>
      <x:c r="E279" s="1" t="str">
        <x:v>S0080</x:v>
      </x:c>
      <x:c r="F279" s="3" t="d">
        <x:v>2025-06-06T00:00:00.000Z</x:v>
      </x:c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</x:row>
    <x:row r="280">
      <x:c r="A280" s="1" t="n">
        <x:v>59</x:v>
      </x:c>
      <x:c r="B280" s="1" t="str">
        <x:v>Drip or trickle, mm</x:v>
      </x:c>
      <x:c r="C280" s="1"/>
      <x:c r="D280" s="1" t="n">
        <x:v>12</x:v>
      </x:c>
      <x:c r="E280" s="1" t="str">
        <x:v>S0080</x:v>
      </x:c>
      <x:c r="F280" s="1" t="str">
        <x:v> 2025-06-06</x:v>
      </x:c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</x:row>
    <x:row r="281">
      <x:c r="A281" s="1" t="n">
        <x:v>53</x:v>
      </x:c>
      <x:c r="B281" s="1" t="str">
        <x:v>Drip or trickle, mm</x:v>
      </x:c>
      <x:c r="C281" s="1"/>
      <x:c r="D281" s="1" t="n">
        <x:v>16</x:v>
      </x:c>
      <x:c r="E281" s="1" t="str">
        <x:v>S0080</x:v>
      </x:c>
      <x:c r="F281" s="1" t="str">
        <x:v>2025-6-21</x:v>
      </x:c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</x:row>
    <x:row r="282">
      <x:c r="A282" s="1" t="n">
        <x:v>59</x:v>
      </x:c>
      <x:c r="B282" s="1" t="str">
        <x:v>Drip or trickle, mm</x:v>
      </x:c>
      <x:c r="C282" s="1"/>
      <x:c r="D282" s="1" t="n">
        <x:v>16</x:v>
      </x:c>
      <x:c r="E282" s="1" t="str">
        <x:v>S0080</x:v>
      </x:c>
      <x:c r="F282" s="1" t="str">
        <x:v>25172</x:v>
      </x:c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</x:row>
    <x:row r="283">
      <x:c r="A283" s="1" t="n">
        <x:v>71</x:v>
      </x:c>
      <x:c r="B283" s="1"/>
      <x:c r="C283" s="1"/>
      <x:c r="D283" s="1" t="n">
        <x:v>25</x:v>
      </x:c>
      <x:c r="E283" s="1" t="str">
        <x:v>S0081</x:v>
      </x:c>
      <x:c r="F283" s="3" t="d">
        <x:v>2026-04-17T00:00:00.000Z</x:v>
      </x:c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</x:row>
    <x:row r="284">
      <x:c r="A284" s="1" t="n">
        <x:v>77</x:v>
      </x:c>
      <x:c r="B284" s="1"/>
      <x:c r="C284" s="1"/>
      <x:c r="D284" s="1" t="n">
        <x:v>25</x:v>
      </x:c>
      <x:c r="E284" s="1" t="str">
        <x:v>S0081</x:v>
      </x:c>
      <x:c r="F284" s="1" t="str">
        <x:v> 2026-04-17</x:v>
      </x:c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</x:row>
    <x:row r="285">
      <x:c r="A285" s="1" t="n">
        <x:v>17</x:v>
      </x:c>
      <x:c r="B285" s="1" t="str">
        <x:v>UNKNOWN</x:v>
      </x:c>
      <x:c r="C285" s="1"/>
      <x:c r="D285" s="1" t="n">
        <x:v>20</x:v>
      </x:c>
      <x:c r="E285" s="1" t="str">
        <x:v>S0084</x:v>
      </x:c>
      <x:c r="F285" s="1" t="str">
        <x:v>2023-4-4</x:v>
      </x:c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</x:row>
    <x:row r="286">
      <x:c r="A286" s="1" t="n">
        <x:v>23</x:v>
      </x:c>
      <x:c r="B286" s="1"/>
      <x:c r="C286" s="1"/>
      <x:c r="D286" s="1" t="n">
        <x:v>20</x:v>
      </x:c>
      <x:c r="E286" s="1" t="str">
        <x:v>S0084</x:v>
      </x:c>
      <x:c r="F286" s="1" t="str">
        <x:v>23094</x:v>
      </x:c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</x:row>
    <x:row r="288">
      <x:c r="A288" s="1" t="str">
        <x:v>! Section</x:v>
      </x:c>
      <x:c r="B288" s="1" t="str">
        <x:v>Irrigation_treatments</x:v>
      </x:c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</x:row>
    <x:row r="289">
      <x:c r="A289" s="1" t="str">
        <x:v>! Definitions</x:v>
      </x:c>
      <x:c r="B289" s="1" t="str">
        <x:v>Unique identifier for an irrigation treatment</x:v>
      </x:c>
      <x:c r="C289" s="1"/>
      <x:c r="D289" s="1" t="str">
        <x:v>Indicates whether or not the field was irrigated</x:v>
      </x:c>
      <x:c r="E289" s="1" t="str">
        <x:v>Irrigation, total amount over season</x:v>
      </x:c>
      <x:c r="F289" s="1" t="str">
        <x:v>Irrigation applications, total number at end season</x:v>
      </x:c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</x:row>
    <x:row r="290">
      <x:c r="A290" s="1" t="str">
        <x:v>! Units</x:v>
      </x:c>
      <x:c r="B290" s="1" t="str">
        <x:v>text</x:v>
      </x:c>
      <x:c r="C290" s="1"/>
      <x:c r="D290" s="1" t="str">
        <x:v>code</x:v>
      </x:c>
      <x:c r="E290" s="1" t="str">
        <x:v>mm</x:v>
      </x:c>
      <x:c r="F290" s="1" t="str">
        <x:v>number</x:v>
      </x:c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</x:row>
    <x:row r="291">
      <x:c r="A291" s="2" t="str">
        <x:v>#</x:v>
      </x:c>
      <x:c r="B291" s="2" t="str">
        <x:v>IRRTRTID</x:v>
      </x:c>
      <x:c r="C291" s="2"/>
      <x:c r="D291" s="2" t="str">
        <x:v>IRRIG</x:v>
      </x:c>
      <x:c r="E291" s="2" t="str">
        <x:v>ir_tot</x:v>
      </x:c>
      <x:c r="F291" s="2" t="str">
        <x:v>IR_#</x:v>
      </x:c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</x:row>
    <x:row r="292">
      <x:c r="A292" s="1" t="n">
        <x:v>17</x:v>
      </x:c>
      <x:c r="B292" s="1" t="str">
        <x:v>S0084</x:v>
      </x:c>
      <x:c r="C292" s="1"/>
      <x:c r="D292" s="1" t="str">
        <x:v>Y</x:v>
      </x:c>
      <x:c r="E292" s="1" t="n">
        <x:v>20</x:v>
      </x:c>
      <x:c r="F292" s="1" t="n">
        <x:v>1</x:v>
      </x:c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</x:row>
    <x:row r="293">
      <x:c r="A293" s="1" t="n">
        <x:v>23</x:v>
      </x:c>
      <x:c r="B293" s="1" t="str">
        <x:v>S0084</x:v>
      </x:c>
      <x:c r="C293" s="1"/>
      <x:c r="D293" s="1" t="str">
        <x:v>Y</x:v>
      </x:c>
      <x:c r="E293" s="1" t="n">
        <x:v>20</x:v>
      </x:c>
      <x:c r="F293" s="1" t="n">
        <x:v>1</x:v>
      </x:c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</x:row>
    <x:row r="294">
      <x:c r="A294" s="1" t="n">
        <x:v>35</x:v>
      </x:c>
      <x:c r="B294" s="1" t="str">
        <x:v>S0079</x:v>
      </x:c>
      <x:c r="C294" s="1"/>
      <x:c r="D294" s="1" t="str">
        <x:v>Y</x:v>
      </x:c>
      <x:c r="E294" s="1" t="n">
        <x:v>55</x:v>
      </x:c>
      <x:c r="F294" s="1" t="n">
        <x:v>2</x:v>
      </x:c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</x:row>
    <x:row r="295">
      <x:c r="A295" s="1" t="n">
        <x:v>41</x:v>
      </x:c>
      <x:c r="B295" s="1" t="str">
        <x:v>S0079</x:v>
      </x:c>
      <x:c r="C295" s="1"/>
      <x:c r="D295" s="1" t="str">
        <x:v>Y</x:v>
      </x:c>
      <x:c r="E295" s="1" t="n">
        <x:v>55</x:v>
      </x:c>
      <x:c r="F295" s="1" t="n">
        <x:v>2</x:v>
      </x:c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</x:row>
    <x:row r="296">
      <x:c r="A296" s="1" t="n">
        <x:v>53</x:v>
      </x:c>
      <x:c r="B296" s="1" t="str">
        <x:v>S0080</x:v>
      </x:c>
      <x:c r="C296" s="1"/>
      <x:c r="D296" s="1" t="str">
        <x:v>Y</x:v>
      </x:c>
      <x:c r="E296" s="1" t="n">
        <x:v>40</x:v>
      </x:c>
      <x:c r="F296" s="1" t="n">
        <x:v>3</x:v>
      </x:c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</x:row>
    <x:row r="297">
      <x:c r="A297" s="1" t="n">
        <x:v>59</x:v>
      </x:c>
      <x:c r="B297" s="1" t="str">
        <x:v>S0080</x:v>
      </x:c>
      <x:c r="C297" s="1"/>
      <x:c r="D297" s="1" t="str">
        <x:v>Y</x:v>
      </x:c>
      <x:c r="E297" s="1" t="n">
        <x:v>40</x:v>
      </x:c>
      <x:c r="F297" s="1" t="n">
        <x:v>3</x:v>
      </x:c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</x:row>
    <x:row r="298">
      <x:c r="A298" s="1" t="n">
        <x:v>71</x:v>
      </x:c>
      <x:c r="B298" s="1" t="str">
        <x:v>S0081</x:v>
      </x:c>
      <x:c r="C298" s="1"/>
      <x:c r="D298" s="1" t="str">
        <x:v>Y</x:v>
      </x:c>
      <x:c r="E298" s="1" t="str">
        <x:v>-99.0</x:v>
      </x:c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</x:row>
    <x:row r="299">
      <x:c r="A299" s="1" t="n">
        <x:v>77</x:v>
      </x:c>
      <x:c r="B299" s="1" t="str">
        <x:v>S0081</x:v>
      </x:c>
      <x:c r="C299" s="1"/>
      <x:c r="D299" s="1" t="str">
        <x:v>Y</x:v>
      </x:c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</x:row>
    <x:row r="301">
      <x:c r="A301" s="1" t="str">
        <x:v>! Section</x:v>
      </x:c>
      <x:c r="B301" s="1" t="str">
        <x:v>Mulch_events</x:v>
      </x:c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</x:row>
    <x:row r="302">
      <x:c r="A302" s="1" t="str">
        <x:v>! Definitions</x:v>
      </x:c>
      <x:c r="B302" s="1" t="str">
        <x:v>Mulch color </x:v>
      </x:c>
      <x:c r="C302" s="1"/>
      <x:c r="D302" s="1" t="str">
        <x:v>Fraction of surface covered by mulch</x:v>
      </x:c>
      <x:c r="E302" s="1" t="str">
        <x:v>Mulch type by codes for soild polythelene sheet, net, etc. </x:v>
      </x:c>
      <x:c r="F302" s="1" t="str">
        <x:v>Mulch removal date; use YYYY-MM-DD.</x:v>
      </x:c>
      <x:c r="G302" s="1" t="str">
        <x:v>Identifier for the mulch treatment represented by the record</x:v>
      </x:c>
      <x:c r="H302" s="1" t="str">
        <x:v>Mulch application date; use YYYY-MM-DD.</x:v>
      </x:c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</x:row>
    <x:row r="303">
      <x:c r="A303" s="1" t="str">
        <x:v>! Units</x:v>
      </x:c>
      <x:c r="B303" s="1" t="str">
        <x:v>code</x:v>
      </x:c>
      <x:c r="C303" s="1"/>
      <x:c r="D303" s="1" t="str">
        <x:v>fraction</x:v>
      </x:c>
      <x:c r="E303" s="1" t="str">
        <x:v>code</x:v>
      </x:c>
      <x:c r="F303" s="1" t="str">
        <x:v>date</x:v>
      </x:c>
      <x:c r="G303" s="1" t="str">
        <x:v>text</x:v>
      </x:c>
      <x:c r="H303" s="1" t="str">
        <x:v>date</x:v>
      </x:c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</x:row>
    <x:row r="304">
      <x:c r="A304" s="2" t="str">
        <x:v>%</x:v>
      </x:c>
      <x:c r="B304" s="2" t="str">
        <x:v>mlcol</x:v>
      </x:c>
      <x:c r="C304" s="2"/>
      <x:c r="D304" s="2" t="str">
        <x:v> MLCOV </x:v>
      </x:c>
      <x:c r="E304" s="2" t="str">
        <x:v>MLTP</x:v>
      </x:c>
      <x:c r="F304" s="2" t="str">
        <x:v>mlrdat</x:v>
      </x:c>
      <x:c r="G304" s="2" t="str">
        <x:v>MULTRTID</x:v>
      </x:c>
      <x:c r="H304" s="2" t="str">
        <x:v>MLADAT</x:v>
      </x:c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</x:row>
    <x:row r="305">
      <x:c r="A305" s="1" t="n">
        <x:v>23</x:v>
      </x:c>
      <x:c r="B305" s="1"/>
      <x:c r="C305" s="1"/>
      <x:c r="D305" s="1" t="n">
        <x:v>0.54</x:v>
      </x:c>
      <x:c r="E305" s="1" t="str">
        <x:v>Straw</x:v>
      </x:c>
      <x:c r="F305" s="1" t="str">
        <x:v> 2023-05-14</x:v>
      </x:c>
      <x:c r="G305" s="1" t="str">
        <x:v>S0085</x:v>
      </x:c>
      <x:c r="H305" s="3" t="d">
        <x:v>2023-03-11T00:00:00.000Z</x:v>
      </x:c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</x:row>
    <x:row r="306">
      <x:c r="A306" s="1" t="n">
        <x:v>41</x:v>
      </x:c>
      <x:c r="B306" s="1"/>
      <x:c r="C306" s="1"/>
      <x:c r="D306" s="1" t="n">
        <x:v>0.62</x:v>
      </x:c>
      <x:c r="E306" s="1" t="str">
        <x:v>Paper</x:v>
      </x:c>
      <x:c r="F306" s="1" t="str">
        <x:v>24176</x:v>
      </x:c>
      <x:c r="G306" s="1" t="str">
        <x:v>S0086</x:v>
      </x:c>
      <x:c r="H306" s="1" t="str">
        <x:v>2024-4-21</x:v>
      </x:c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</x:row>
    <x:row r="307">
      <x:c r="A307" s="1" t="n">
        <x:v>59</x:v>
      </x:c>
      <x:c r="B307" s="1"/>
      <x:c r="C307" s="1"/>
      <x:c r="D307" s="1" t="n">
        <x:v>0.7</x:v>
      </x:c>
      <x:c r="E307" s="1" t="str">
        <x:v>Landscape fabric</x:v>
      </x:c>
      <x:c r="F307" s="1" t="str">
        <x:v> 2025-07-16</x:v>
      </x:c>
      <x:c r="G307" s="1" t="str">
        <x:v>S0087</x:v>
      </x:c>
      <x:c r="H307" s="3" t="d">
        <x:v>2025-05-13T00:00:00.000Z</x:v>
      </x:c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</x:row>
    <x:row r="308">
      <x:c r="A308" s="1" t="n">
        <x:v>77</x:v>
      </x:c>
      <x:c r="B308" s="1"/>
      <x:c r="C308" s="1"/>
      <x:c r="D308" s="1" t="n">
        <x:v>0.78</x:v>
      </x:c>
      <x:c r="E308" s="1" t="str">
        <x:v>Straw</x:v>
      </x:c>
      <x:c r="F308" s="1" t="str">
        <x:v>26142</x:v>
      </x:c>
      <x:c r="G308" s="1" t="str">
        <x:v>S0088</x:v>
      </x:c>
      <x:c r="H308" s="1" t="str">
        <x:v>2026-3-19</x:v>
      </x:c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</x:row>
    <x:row r="310">
      <x:c r="A310" s="1" t="str">
        <x:v>! Section</x:v>
      </x:c>
      <x:c r="B310" s="1" t="str">
        <x:v>Organic_material_application_events</x:v>
      </x:c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</x:row>
    <x:row r="311">
      <x:c r="A311" s="1" t="str">
        <x:v>! Definitions</x:v>
      </x:c>
      <x:c r="B311" s="1" t="str">
        <x:v>Organic materials application date; use YYYY-MM-DD.</x:v>
      </x:c>
      <x:c r="C311" s="1"/>
      <x:c r="D311" s="1" t="str">
        <x:v>Identifier of the organic material application treatment associated with the event</x:v>
      </x:c>
      <x:c r="E311" s="1" t="str">
        <x:v>Organic material, identifying code</x:v>
      </x:c>
      <x:c r="F311" s="1" t="str">
        <x:v>Organic materials application amount, dry weight basis</x:v>
      </x:c>
      <x:c r="G311" s="1" t="str">
        <x:v>Organic materials nitrogen concentration</x:v>
      </x:c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</x:row>
    <x:row r="312">
      <x:c r="A312" s="1" t="str">
        <x:v>! Units</x:v>
      </x:c>
      <x:c r="B312" s="1" t="str">
        <x:v>date</x:v>
      </x:c>
      <x:c r="C312" s="1"/>
      <x:c r="D312" s="1" t="str">
        <x:v>text</x:v>
      </x:c>
      <x:c r="E312" s="1" t="str">
        <x:v>code</x:v>
      </x:c>
      <x:c r="F312" s="1" t="str">
        <x:v>kg/ha</x:v>
      </x:c>
      <x:c r="G312" s="1" t="str">
        <x:v>%</x:v>
      </x:c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</x:row>
    <x:row r="313">
      <x:c r="A313" s="2" t="str">
        <x:v>%</x:v>
      </x:c>
      <x:c r="B313" s="2" t="str">
        <x:v>OMDAT</x:v>
      </x:c>
      <x:c r="C313" s="2"/>
      <x:c r="D313" s="2" t="str">
        <x:v>ORGM_OME</x:v>
      </x:c>
      <x:c r="E313" s="2" t="str">
        <x:v>omcd</x:v>
      </x:c>
      <x:c r="F313" s="2" t="str">
        <x:v>OMAMT</x:v>
      </x:c>
      <x:c r="G313" s="2" t="str">
        <x:v> OMN% </x:v>
      </x:c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</x:row>
    <x:row r="314">
      <x:c r="A314" s="1" t="n">
        <x:v>23</x:v>
      </x:c>
      <x:c r="B314" s="3" t="d">
        <x:v>2023-03-08T00:00:00.000Z</x:v>
      </x:c>
      <x:c r="C314" s="1"/>
      <x:c r="D314" s="1" t="str">
        <x:v>S0091</x:v>
      </x:c>
      <x:c r="E314" s="1" t="str">
        <x:v>RE005</x:v>
      </x:c>
      <x:c r="F314" s="1" t="n">
        <x:v>1000</x:v>
      </x:c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</x:row>
    <x:row r="315">
      <x:c r="A315" s="1" t="n">
        <x:v>41</x:v>
      </x:c>
      <x:c r="B315" s="1" t="str">
        <x:v> 2024-04-18</x:v>
      </x:c>
      <x:c r="C315" s="1"/>
      <x:c r="D315" s="1" t="str">
        <x:v>S0092</x:v>
      </x:c>
      <x:c r="E315" s="1" t="str">
        <x:v>RE001</x:v>
      </x:c>
      <x:c r="F315" s="1" t="n">
        <x:v>1500</x:v>
      </x:c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</x:row>
    <x:row r="316">
      <x:c r="A316" s="1" t="n">
        <x:v>59</x:v>
      </x:c>
      <x:c r="B316" s="1" t="str">
        <x:v>2025-5-10</x:v>
      </x:c>
      <x:c r="C316" s="1"/>
      <x:c r="D316" s="1" t="str">
        <x:v>S0093</x:v>
      </x:c>
      <x:c r="E316" s="1" t="str">
        <x:v>RE106</x:v>
      </x:c>
      <x:c r="F316" s="1" t="n">
        <x:v>2500</x:v>
      </x:c>
      <x:c r="G316" s="1" t="n">
        <x:v>1.5</x:v>
      </x:c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</x:row>
    <x:row r="317">
      <x:c r="A317" s="1" t="n">
        <x:v>77</x:v>
      </x:c>
      <x:c r="B317" s="1" t="str">
        <x:v>26075</x:v>
      </x:c>
      <x:c r="C317" s="1"/>
      <x:c r="D317" s="1" t="str">
        <x:v>S0094</x:v>
      </x:c>
      <x:c r="E317" s="1" t="str">
        <x:v>RE205</x:v>
      </x:c>
      <x:c r="F317" s="1" t="n">
        <x:v>1200</x:v>
      </x:c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</x:row>
    <x:row r="319">
      <x:c r="A319" s="1" t="str">
        <x:v>! Section</x:v>
      </x:c>
      <x:c r="B319" s="1" t="str">
        <x:v>Organic_material_application_treatments</x:v>
      </x:c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</x:row>
    <x:row r="320">
      <x:c r="A320" s="1" t="str">
        <x:v>! Definitions</x:v>
      </x:c>
      <x:c r="B320" s="1" t="str">
        <x:v>Total seasonal organic materials application amount, dry weight basis</x:v>
      </x:c>
      <x:c r="C320" s="1"/>
      <x:c r="D320" s="1" t="str">
        <x:v>Unique identifier for an organic material application treatment</x:v>
      </x:c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</x:row>
    <x:row r="321">
      <x:c r="A321" s="1" t="str">
        <x:v>! Units</x:v>
      </x:c>
      <x:c r="B321" s="1" t="str">
        <x:v>kg/ha</x:v>
      </x:c>
      <x:c r="C321" s="1"/>
      <x:c r="D321" s="1" t="str">
        <x:v>text</x:v>
      </x:c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</x:row>
    <x:row r="322">
      <x:c r="A322" s="2" t="str">
        <x:v>#</x:v>
      </x:c>
      <x:c r="B322" s="2" t="str">
        <x:v>OM_TOT</x:v>
      </x:c>
      <x:c r="C322" s="2"/>
      <x:c r="D322" s="2" t="str">
        <x:v>ORGMATAP</x:v>
      </x:c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</x:row>
    <x:row r="323">
      <x:c r="A323" s="1" t="n">
        <x:v>23</x:v>
      </x:c>
      <x:c r="B323" s="1"/>
      <x:c r="C323" s="1"/>
      <x:c r="D323" s="1" t="str">
        <x:v>S0091</x:v>
      </x:c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</x:row>
    <x:row r="324">
      <x:c r="A324" s="1" t="n">
        <x:v>41</x:v>
      </x:c>
      <x:c r="B324" s="1" t="n">
        <x:v>1500</x:v>
      </x:c>
      <x:c r="C324" s="1"/>
      <x:c r="D324" s="1" t="str">
        <x:v>S0092</x:v>
      </x:c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</x:row>
    <x:row r="325">
      <x:c r="A325" s="1" t="n">
        <x:v>59</x:v>
      </x:c>
      <x:c r="B325" s="1"/>
      <x:c r="C325" s="1"/>
      <x:c r="D325" s="1" t="str">
        <x:v>S0093</x:v>
      </x:c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</x:row>
    <x:row r="326">
      <x:c r="A326" s="1" t="n">
        <x:v>77</x:v>
      </x:c>
      <x:c r="B326" s="1" t="str">
        <x:v>-99</x:v>
      </x:c>
      <x:c r="C326" s="1"/>
      <x:c r="D326" s="1" t="str">
        <x:v>S0094</x:v>
      </x:c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</x:row>
    <x:row r="328">
      <x:c r="A328" s="1" t="str">
        <x:v>! Section</x:v>
      </x:c>
      <x:c r="B328" s="1" t="str">
        <x:v>Other_observations_summary</x:v>
      </x:c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</x:row>
    <x:row r="329">
      <x:c r="A329" s="1" t="str">
        <x:v>! Definitions</x:v>
      </x:c>
      <x:c r="B329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C329" s="1"/>
      <x:c r="D329" s="1" t="str">
        <x:v>Rainfall, planting to harvest</x:v>
      </x:c>
      <x:c r="E329" s="1" t="str">
        <x:v>Evapotranspiration, cumulative from planting to harvest</x:v>
      </x:c>
      <x:c r="F329" s="1" t="str">
        <x:v>Transpiration, cumulative from planting to harvest</x:v>
      </x:c>
      <x:c r="G329" s="1" t="str">
        <x:v>Evaporation,soil, cumulative from planting to harvest</x:v>
      </x:c>
      <x:c r="H329" s="1" t="str">
        <x:v>Runoff, season total</x:v>
      </x:c>
      <x:c r="I329" s="1" t="str">
        <x:v>Drainage,season</x:v>
      </x:c>
      <x:c r="J329" s="1" t="str">
        <x:v>Solar radiation, average, sowing to harvest</x:v>
      </x:c>
      <x:c r="K329" s="1" t="str">
        <x:v>Maximum daily air temperature, average, sowing to harvest</x:v>
      </x:c>
      <x:c r="L329" s="1" t="str">
        <x:v>Minimum daily air temperature, average, sowing to harvest</x:v>
      </x:c>
      <x:c r="M329" s="1" t="str">
        <x:v>Daily air temperature, average, sowing to harvest</x:v>
      </x:c>
      <x:c r="N329" s="1" t="str">
        <x:v>N, inorganic, applied up to harvest maturity</x:v>
      </x:c>
      <x:c r="O329" s="1" t="str">
        <x:v>Organic matter appl (dry), cumulative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</x:row>
    <x:row r="330">
      <x:c r="A330" s="1" t="str">
        <x:v>! Units</x:v>
      </x:c>
      <x:c r="B330" s="1" t="str">
        <x:v>text</x:v>
      </x:c>
      <x:c r="C330" s="1"/>
      <x:c r="D330" s="1" t="str">
        <x:v>mm</x:v>
      </x:c>
      <x:c r="E330" s="1" t="str">
        <x:v>mm</x:v>
      </x:c>
      <x:c r="F330" s="1" t="str">
        <x:v>mm</x:v>
      </x:c>
      <x:c r="G330" s="1" t="str">
        <x:v>mm</x:v>
      </x:c>
      <x:c r="H330" s="1" t="str">
        <x:v>mm</x:v>
      </x:c>
      <x:c r="I330" s="1" t="str">
        <x:v>mm</x:v>
      </x:c>
      <x:c r="J330" s="1" t="str">
        <x:v>MJ/(m2.d)</x:v>
      </x:c>
      <x:c r="K330" s="1" t="str">
        <x:v>degree_C</x:v>
      </x:c>
      <x:c r="L330" s="1" t="str">
        <x:v>degree_C</x:v>
      </x:c>
      <x:c r="M330" s="1" t="str">
        <x:v>degree_C</x:v>
      </x:c>
      <x:c r="N330" s="1" t="str">
        <x:v>kg/ha</x:v>
      </x:c>
      <x:c r="O330" s="1" t="str">
        <x:v>kg/ha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</x:row>
    <x:row r="331">
      <x:c r="A331" s="2" t="str">
        <x:v>#</x:v>
      </x:c>
      <x:c r="B331" s="2" t="str">
        <x:v>GRPPL_OO</x:v>
      </x:c>
      <x:c r="C331" s="2"/>
      <x:c r="D331" s="2" t="str">
        <x:v>PRCP</x:v>
      </x:c>
      <x:c r="E331" s="2" t="str">
        <x:v>etcp</x:v>
      </x:c>
      <x:c r="F331" s="2" t="str">
        <x:v>EPCP</x:v>
      </x:c>
      <x:c r="G331" s="2" t="str">
        <x:v> ESCP </x:v>
      </x:c>
      <x:c r="H331" s="2" t="str">
        <x:v>rocm</x:v>
      </x:c>
      <x:c r="I331" s="2" t="str">
        <x:v>DRCM</x:v>
      </x:c>
      <x:c r="J331" s="2" t="str">
        <x:v>SRAA</x:v>
      </x:c>
      <x:c r="K331" s="2" t="str">
        <x:v>tmaxa</x:v>
      </x:c>
      <x:c r="L331" s="2" t="str">
        <x:v> TMINA </x:v>
      </x:c>
      <x:c r="M331" s="2" t="str">
        <x:v>TAVGA</x:v>
      </x:c>
      <x:c r="N331" s="2" t="str">
        <x:v>nicm</x:v>
      </x:c>
      <x:c r="O331" s="2" t="str">
        <x:v>OMAC</x:v>
      </x:c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</x:row>
    <x:row r="332">
      <x:c r="A332" s="1" t="n">
        <x:v>11</x:v>
      </x:c>
      <x:c r="B332" s="1" t="str">
        <x:v>11</x:v>
      </x:c>
      <x:c r="C332" s="1"/>
      <x:c r="D332" s="1" t="n">
        <x:v>191.08</x:v>
      </x:c>
      <x:c r="E332" s="1" t="n">
        <x:v>333.6</x:v>
      </x:c>
      <x:c r="F332" s="1" t="n">
        <x:v>244.8</x:v>
      </x:c>
      <x:c r="G332" s="1" t="n">
        <x:v>88.8</x:v>
      </x:c>
      <x:c r="H332" s="1" t="n">
        <x:v>16</x:v>
      </x:c>
      <x:c r="I332" s="1"/>
      <x:c r="J332" s="1"/>
      <x:c r="K332" s="1" t="str">
        <x:v>-99.0</x:v>
      </x:c>
      <x:c r="L332" s="1"/>
      <x:c r="M332" s="1" t="str">
        <x:v>-99.0</x:v>
      </x:c>
      <x:c r="N332" s="1" t="n">
        <x:v>120</x:v>
      </x:c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</x:row>
    <x:row r="333">
      <x:c r="A333" s="1" t="n">
        <x:v>29</x:v>
      </x:c>
      <x:c r="B333" s="1" t="str">
        <x:v>29</x:v>
      </x:c>
      <x:c r="C333" s="1"/>
      <x:c r="D333" s="1" t="n">
        <x:v>337.93</x:v>
      </x:c>
      <x:c r="E333" s="1"/>
      <x:c r="F333" s="1"/>
      <x:c r="G333" s="1"/>
      <x:c r="H333" s="1"/>
      <x:c r="I333" s="1" t="n">
        <x:v>29</x:v>
      </x:c>
      <x:c r="J333" s="1" t="n">
        <x:v>15.891</x:v>
      </x:c>
      <x:c r="K333" s="1" t="n">
        <x:v>21.758</x:v>
      </x:c>
      <x:c r="L333" s="1" t="n">
        <x:v>13.734</x:v>
      </x:c>
      <x:c r="M333" s="1" t="n">
        <x:v>17.747</x:v>
      </x:c>
      <x:c r="N333" s="1" t="n">
        <x:v>120</x:v>
      </x:c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</x:row>
    <x:row r="334">
      <x:c r="A334" s="1" t="n">
        <x:v>47</x:v>
      </x:c>
      <x:c r="B334" s="1" t="str">
        <x:v>47</x:v>
      </x:c>
      <x:c r="C334" s="1"/>
      <x:c r="D334" s="1" t="n">
        <x:v>245.38</x:v>
      </x:c>
      <x:c r="E334" s="1" t="n">
        <x:v>305.8</x:v>
      </x:c>
      <x:c r="F334" s="1" t="n">
        <x:v>224.4</x:v>
      </x:c>
      <x:c r="G334" s="1" t="n">
        <x:v>81.4</x:v>
      </x:c>
      <x:c r="H334" s="1" t="str">
        <x:v>-99.0</x:v>
      </x:c>
      <x:c r="I334" s="1"/>
      <x:c r="J334" s="1"/>
      <x:c r="K334" s="1" t="str">
        <x:v>-99</x:v>
      </x:c>
      <x:c r="L334" s="1"/>
      <x:c r="M334" s="1"/>
      <x:c r="N334" s="1" t="n">
        <x:v>120</x:v>
      </x:c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</x:row>
    <x:row r="335">
      <x:c r="A335" s="1" t="n">
        <x:v>65</x:v>
      </x:c>
      <x:c r="B335" s="1" t="str">
        <x:v>65</x:v>
      </x:c>
      <x:c r="C335" s="1"/>
      <x:c r="D335" s="1" t="n">
        <x:v>272.5</x:v>
      </x:c>
      <x:c r="E335" s="1"/>
      <x:c r="F335" s="1"/>
      <x:c r="G335" s="1"/>
      <x:c r="H335" s="1" t="n">
        <x:v>16</x:v>
      </x:c>
      <x:c r="I335" s="1"/>
      <x:c r="J335" s="1" t="n">
        <x:v>13.597</x:v>
      </x:c>
      <x:c r="K335" s="1" t="n">
        <x:v>19.204</x:v>
      </x:c>
      <x:c r="L335" s="1" t="n">
        <x:v>11.226</x:v>
      </x:c>
      <x:c r="M335" s="1" t="n">
        <x:v>15.214</x:v>
      </x:c>
      <x:c r="N335" s="1" t="n">
        <x:v>120</x:v>
      </x:c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</x:row>
    <x:row r="336">
      <x:c r="A336" s="1" t="n">
        <x:v>17</x:v>
      </x:c>
      <x:c r="B336" s="1" t="str">
        <x:v>17</x:v>
      </x:c>
      <x:c r="C336" s="1"/>
      <x:c r="D336" s="1" t="n">
        <x:v>191.08</x:v>
      </x:c>
      <x:c r="E336" s="1" t="n">
        <x:v>333.6</x:v>
      </x:c>
      <x:c r="F336" s="1" t="n">
        <x:v>244.8</x:v>
      </x:c>
      <x:c r="G336" s="1" t="n">
        <x:v>88.8</x:v>
      </x:c>
      <x:c r="H336" s="1"/>
      <x:c r="I336" s="1" t="n">
        <x:v>29</x:v>
      </x:c>
      <x:c r="J336" s="1"/>
      <x:c r="K336" s="1"/>
      <x:c r="L336" s="1"/>
      <x:c r="M336" s="1"/>
      <x:c r="N336" s="1" t="n">
        <x:v>60</x:v>
      </x:c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</x:row>
    <x:row r="337">
      <x:c r="A337" s="1" t="n">
        <x:v>35</x:v>
      </x:c>
      <x:c r="B337" s="1" t="str">
        <x:v>35</x:v>
      </x:c>
      <x:c r="C337" s="1"/>
      <x:c r="D337" s="1" t="n">
        <x:v>337.93</x:v>
      </x:c>
      <x:c r="E337" s="1"/>
      <x:c r="F337" s="1"/>
      <x:c r="G337" s="1"/>
      <x:c r="H337" s="1"/>
      <x:c r="I337" s="1"/>
      <x:c r="J337" s="1" t="n">
        <x:v>15.891</x:v>
      </x:c>
      <x:c r="K337" s="1" t="n">
        <x:v>21.758</x:v>
      </x:c>
      <x:c r="L337" s="1" t="n">
        <x:v>13.734</x:v>
      </x:c>
      <x:c r="M337" s="1" t="n">
        <x:v>17.747</x:v>
      </x:c>
      <x:c r="N337" s="1" t="n">
        <x:v>60</x:v>
      </x:c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</x:row>
    <x:row r="338">
      <x:c r="A338" s="1" t="n">
        <x:v>53</x:v>
      </x:c>
      <x:c r="B338" s="1" t="str">
        <x:v>53</x:v>
      </x:c>
      <x:c r="C338" s="1"/>
      <x:c r="D338" s="1" t="n">
        <x:v>245.38</x:v>
      </x:c>
      <x:c r="E338" s="1" t="n">
        <x:v>305.8</x:v>
      </x:c>
      <x:c r="F338" s="1" t="n">
        <x:v>224.4</x:v>
      </x:c>
      <x:c r="G338" s="1" t="n">
        <x:v>81.4</x:v>
      </x:c>
      <x:c r="H338" s="1" t="n">
        <x:v>16</x:v>
      </x:c>
      <x:c r="I338" s="1"/>
      <x:c r="J338" s="1"/>
      <x:c r="K338" s="1" t="str">
        <x:v>-99</x:v>
      </x:c>
      <x:c r="L338" s="1"/>
      <x:c r="M338" s="1"/>
      <x:c r="N338" s="1" t="n">
        <x:v>60</x:v>
      </x:c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</x:row>
    <x:row r="339">
      <x:c r="A339" s="1" t="n">
        <x:v>71</x:v>
      </x:c>
      <x:c r="B339" s="1" t="str">
        <x:v>71</x:v>
      </x:c>
      <x:c r="C339" s="1"/>
      <x:c r="D339" s="1" t="n">
        <x:v>272.5</x:v>
      </x:c>
      <x:c r="E339" s="1"/>
      <x:c r="F339" s="1"/>
      <x:c r="G339" s="1" t="str">
        <x:v>-99.0</x:v>
      </x:c>
      <x:c r="H339" s="1"/>
      <x:c r="I339" s="1" t="n">
        <x:v>29</x:v>
      </x:c>
      <x:c r="J339" s="1" t="n">
        <x:v>13.597</x:v>
      </x:c>
      <x:c r="K339" s="1" t="n">
        <x:v>19.204</x:v>
      </x:c>
      <x:c r="L339" s="1" t="n">
        <x:v>11.226</x:v>
      </x:c>
      <x:c r="M339" s="1" t="n">
        <x:v>15.214</x:v>
      </x:c>
      <x:c r="N339" s="1" t="n">
        <x:v>60</x:v>
      </x:c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</x:row>
    <x:row r="340">
      <x:c r="A340" s="1" t="n">
        <x:v>23</x:v>
      </x:c>
      <x:c r="B340" s="1" t="str">
        <x:v>23</x:v>
      </x:c>
      <x:c r="C340" s="1"/>
      <x:c r="D340" s="1" t="n">
        <x:v>191.08</x:v>
      </x:c>
      <x:c r="E340" s="1" t="n">
        <x:v>333.6</x:v>
      </x:c>
      <x:c r="F340" s="1" t="n">
        <x:v>244.8</x:v>
      </x:c>
      <x:c r="G340" s="1" t="n">
        <x:v>88.8</x:v>
      </x:c>
      <x:c r="H340" s="1"/>
      <x:c r="I340" s="1"/>
      <x:c r="J340" s="1"/>
      <x:c r="K340" s="1"/>
      <x:c r="L340" s="1"/>
      <x:c r="M340" s="1"/>
      <x:c r="N340" s="1" t="n">
        <x:v>120</x:v>
      </x:c>
      <x:c r="O340" s="1" t="n">
        <x:v>1000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</x:row>
    <x:row r="341">
      <x:c r="A341" s="1" t="n">
        <x:v>41</x:v>
      </x:c>
      <x:c r="B341" s="1" t="str">
        <x:v>41</x:v>
      </x:c>
      <x:c r="C341" s="1"/>
      <x:c r="D341" s="1" t="n">
        <x:v>337.93</x:v>
      </x:c>
      <x:c r="E341" s="1"/>
      <x:c r="F341" s="1"/>
      <x:c r="G341" s="1"/>
      <x:c r="H341" s="1" t="n">
        <x:v>16</x:v>
      </x:c>
      <x:c r="I341" s="1"/>
      <x:c r="J341" s="1" t="n">
        <x:v>15.891</x:v>
      </x:c>
      <x:c r="K341" s="1" t="n">
        <x:v>21.758</x:v>
      </x:c>
      <x:c r="L341" s="1" t="n">
        <x:v>13.734</x:v>
      </x:c>
      <x:c r="M341" s="1" t="n">
        <x:v>17.747</x:v>
      </x:c>
      <x:c r="N341" s="1" t="n">
        <x:v>120</x:v>
      </x:c>
      <x:c r="O341" s="1" t="n">
        <x:v>1500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</x:row>
    <x:row r="342">
      <x:c r="A342" s="1" t="n">
        <x:v>59</x:v>
      </x:c>
      <x:c r="B342" s="1" t="str">
        <x:v>59</x:v>
      </x:c>
      <x:c r="C342" s="1"/>
      <x:c r="D342" s="1" t="n">
        <x:v>245.38</x:v>
      </x:c>
      <x:c r="E342" s="1" t="n">
        <x:v>305.8</x:v>
      </x:c>
      <x:c r="F342" s="1" t="n">
        <x:v>224.4</x:v>
      </x:c>
      <x:c r="G342" s="1" t="n">
        <x:v>81.4</x:v>
      </x:c>
      <x:c r="H342" s="1"/>
      <x:c r="I342" s="1" t="n">
        <x:v>29</x:v>
      </x:c>
      <x:c r="J342" s="1"/>
      <x:c r="K342" s="1" t="str">
        <x:v>-99.0</x:v>
      </x:c>
      <x:c r="L342" s="1"/>
      <x:c r="M342" s="1"/>
      <x:c r="N342" s="1" t="n">
        <x:v>120</x:v>
      </x:c>
      <x:c r="O342" s="1" t="n">
        <x:v>2500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</x:row>
    <x:row r="343">
      <x:c r="A343" s="1" t="n">
        <x:v>77</x:v>
      </x:c>
      <x:c r="B343" s="1" t="str">
        <x:v>77</x:v>
      </x:c>
      <x:c r="C343" s="1"/>
      <x:c r="D343" s="1" t="n">
        <x:v>272.5</x:v>
      </x:c>
      <x:c r="E343" s="1"/>
      <x:c r="F343" s="1"/>
      <x:c r="G343" s="1"/>
      <x:c r="H343" s="1"/>
      <x:c r="I343" s="1"/>
      <x:c r="J343" s="1" t="n">
        <x:v>13.597</x:v>
      </x:c>
      <x:c r="K343" s="1" t="n">
        <x:v>19.204</x:v>
      </x:c>
      <x:c r="L343" s="1" t="n">
        <x:v>11.226</x:v>
      </x:c>
      <x:c r="M343" s="1" t="n">
        <x:v>15.214</x:v>
      </x:c>
      <x:c r="N343" s="1" t="n">
        <x:v>120</x:v>
      </x:c>
      <x:c r="O343" s="1" t="n">
        <x:v>1200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</x:row>
    <x:row r="345">
      <x:c r="A345" s="1" t="str">
        <x:v>! Section</x:v>
      </x:c>
      <x:c r="B345" s="1" t="str">
        <x:v>Other_observations_timeseries</x:v>
      </x:c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</x:row>
    <x:row r="346">
      <x:c r="A346" s="1" t="str">
        <x:v>! Definitions</x:v>
      </x:c>
      <x:c r="B346" s="1" t="str">
        <x:v>Daily methane emitted from soil</x:v>
      </x:c>
      <x:c r="C346" s="1"/>
      <x:c r="D346" s="1" t="str">
        <x:v>Daily N2O emitted from soil</x:v>
      </x:c>
      <x:c r="E346" s="1" t="str">
        <x:v>Daily CO2 emitted from decomposition of SOM</x:v>
      </x:c>
      <x:c r="F346" s="1" t="str">
        <x:v>Floodwater depth</x:v>
      </x:c>
      <x:c r="G346" s="1" t="str">
        <x:v>N applications</x:v>
      </x:c>
      <x:c r="H346" s="1" t="str">
        <x:v>Irrigation, cumulative</x:v>
      </x:c>
      <x:c r="I346" s="1" t="str">
        <x:v>Water stress factor reducing growth (0 to 1 scale)</x:v>
      </x:c>
      <x:c r="J346" s="1" t="str">
        <x:v>Irrigation applications, cumulative</x:v>
      </x:c>
      <x:c r="K346" s="1" t="str">
        <x:v>Evapotranspiration</x:v>
      </x:c>
      <x:c r="L346" s="1" t="str">
        <x:v>Evaporation, soil, daily</x:v>
      </x:c>
      <x:c r="M346" s="1" t="str">
        <x:v>Transpiration (evaporation from plant), daily</x:v>
      </x:c>
      <x:c r="N346" s="1" t="str">
        <x:v>Water available in root zone</x:v>
      </x:c>
      <x:c r="O346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P346" s="1" t="str">
        <x:v>Date of measurement; use YYYY-MM-DD.</x:v>
      </x:c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</x:row>
    <x:row r="347">
      <x:c r="A347" s="1" t="str">
        <x:v>! Units</x:v>
      </x:c>
      <x:c r="B347" s="1" t="str">
        <x:v>g/ha</x:v>
      </x:c>
      <x:c r="C347" s="1"/>
      <x:c r="D347" s="1" t="str">
        <x:v>g/ha</x:v>
      </x:c>
      <x:c r="E347" s="1" t="str">
        <x:v>g/ha</x:v>
      </x:c>
      <x:c r="F347" s="1" t="str">
        <x:v>mm</x:v>
      </x:c>
      <x:c r="G347" s="1" t="str">
        <x:v>number</x:v>
      </x:c>
      <x:c r="H347" s="1" t="str">
        <x:v>mm</x:v>
      </x:c>
      <x:c r="I347" s="1" t="str">
        <x:v>number</x:v>
      </x:c>
      <x:c r="J347" s="1" t="str">
        <x:v>number</x:v>
      </x:c>
      <x:c r="K347" s="1" t="str">
        <x:v>mm/d</x:v>
      </x:c>
      <x:c r="L347" s="1" t="str">
        <x:v>mm/d</x:v>
      </x:c>
      <x:c r="M347" s="1" t="str">
        <x:v>mm/d</x:v>
      </x:c>
      <x:c r="N347" s="1" t="str">
        <x:v>mm</x:v>
      </x:c>
      <x:c r="O347" s="1" t="str">
        <x:v>text</x:v>
      </x:c>
      <x:c r="P347" s="1" t="str">
        <x:v>date</x:v>
      </x:c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</x:row>
    <x:row r="348">
      <x:c r="A348" s="2" t="str">
        <x:v>%</x:v>
      </x:c>
      <x:c r="B348" s="2" t="str">
        <x:v>CH4ED</x:v>
      </x:c>
      <x:c r="C348" s="2"/>
      <x:c r="D348" s="2" t="str">
        <x:v>N2OED</x:v>
      </x:c>
      <x:c r="E348" s="2" t="str">
        <x:v>co2ed</x:v>
      </x:c>
      <x:c r="F348" s="2" t="str">
        <x:v>FLDD</x:v>
      </x:c>
      <x:c r="G348" s="2" t="str">
        <x:v> NI#M </x:v>
      </x:c>
      <x:c r="H348" s="2" t="str">
        <x:v>irrc</x:v>
      </x:c>
      <x:c r="I348" s="2" t="str">
        <x:v>WFGD</x:v>
      </x:c>
      <x:c r="J348" s="2" t="str">
        <x:v>IG#C</x:v>
      </x:c>
      <x:c r="K348" s="2" t="str">
        <x:v>etad</x:v>
      </x:c>
      <x:c r="L348" s="2" t="str">
        <x:v> ESAD </x:v>
      </x:c>
      <x:c r="M348" s="2" t="str">
        <x:v>EPAD</x:v>
      </x:c>
      <x:c r="N348" s="2" t="str">
        <x:v>h2oa</x:v>
      </x:c>
      <x:c r="O348" s="2" t="str">
        <x:v>GRPPL_OO</x:v>
      </x:c>
      <x:c r="P348" s="2" t="str">
        <x:v>DATE</x:v>
      </x:c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</x:row>
    <x:row r="349">
      <x:c r="A349" s="1" t="n">
        <x:v>11</x:v>
      </x:c>
      <x:c r="B349" s="1"/>
      <x:c r="C349" s="1"/>
      <x:c r="D349" s="1" t="str">
        <x:v>-99.0</x:v>
      </x:c>
      <x:c r="E349" s="1"/>
      <x:c r="F349" s="1"/>
      <x:c r="G349" s="1" t="n">
        <x:v>2</x:v>
      </x:c>
      <x:c r="H349" s="1" t="str">
        <x:v>-99</x:v>
      </x:c>
      <x:c r="I349" s="1" t="str">
        <x:v>-99</x:v>
      </x:c>
      <x:c r="J349" s="1"/>
      <x:c r="K349" s="1" t="n">
        <x:v>3.7</x:v>
      </x:c>
      <x:c r="L349" s="1" t="n">
        <x:v>0.79</x:v>
      </x:c>
      <x:c r="M349" s="1" t="n">
        <x:v>2.91</x:v>
      </x:c>
      <x:c r="N349" s="1"/>
      <x:c r="O349" s="1" t="str">
        <x:v>11</x:v>
      </x:c>
      <x:c r="P349" s="3" t="d">
        <x:v>2023-04-09T00:00:00.000Z</x:v>
      </x:c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</x:row>
    <x:row r="350">
      <x:c r="A350" s="1" t="n">
        <x:v>11</x:v>
      </x:c>
      <x:c r="B350" s="1"/>
      <x:c r="C350" s="1"/>
      <x:c r="D350" s="1"/>
      <x:c r="E350" s="1"/>
      <x:c r="F350" s="1"/>
      <x:c r="G350" s="1" t="n">
        <x:v>2</x:v>
      </x:c>
      <x:c r="H350" s="1"/>
      <x:c r="I350" s="1" t="str">
        <x:v>-99</x:v>
      </x:c>
      <x:c r="J350" s="1"/>
      <x:c r="K350" s="1" t="n">
        <x:v>4.07</x:v>
      </x:c>
      <x:c r="L350" s="1" t="n">
        <x:v>0.65</x:v>
      </x:c>
      <x:c r="M350" s="1" t="n">
        <x:v>3.42</x:v>
      </x:c>
      <x:c r="N350" s="1"/>
      <x:c r="O350" s="1" t="str">
        <x:v>11</x:v>
      </x:c>
      <x:c r="P350" s="1" t="str">
        <x:v> 2023-05-15</x:v>
      </x:c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</x:row>
    <x:row r="351">
      <x:c r="A351" s="1" t="n">
        <x:v>11</x:v>
      </x:c>
      <x:c r="B351" s="1"/>
      <x:c r="C351" s="1"/>
      <x:c r="D351" s="1"/>
      <x:c r="E351" s="1"/>
      <x:c r="F351" s="1"/>
      <x:c r="G351" s="1" t="n">
        <x:v>2</x:v>
      </x:c>
      <x:c r="H351" s="1"/>
      <x:c r="I351" s="1"/>
      <x:c r="J351" s="1"/>
      <x:c r="K351" s="1" t="n">
        <x:v>2.69</x:v>
      </x:c>
      <x:c r="L351" s="1" t="n">
        <x:v>0.49</x:v>
      </x:c>
      <x:c r="M351" s="1" t="n">
        <x:v>2.2</x:v>
      </x:c>
      <x:c r="N351" s="1"/>
      <x:c r="O351" s="1" t="str">
        <x:v>11</x:v>
      </x:c>
      <x:c r="P351" s="1" t="str">
        <x:v>2023-6-26</x:v>
      </x:c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</x:row>
    <x:row r="352">
      <x:c r="A352" s="1" t="n">
        <x:v>29</x:v>
      </x:c>
      <x:c r="B352" s="1" t="str">
        <x:v>-99.0</x:v>
      </x:c>
      <x:c r="C352" s="1"/>
      <x:c r="D352" s="1"/>
      <x:c r="E352" s="1"/>
      <x:c r="F352" s="1"/>
      <x:c r="G352" s="1" t="n">
        <x:v>2</x:v>
      </x:c>
      <x:c r="H352" s="1"/>
      <x:c r="I352" s="1" t="n">
        <x:v>0.93</x:v>
      </x:c>
      <x:c r="J352" s="1" t="str">
        <x:v>-99</x:v>
      </x:c>
      <x:c r="K352" s="1" t="n">
        <x:v>3.7</x:v>
      </x:c>
      <x:c r="L352" s="1"/>
      <x:c r="M352" s="1" t="str">
        <x:v>-99</x:v>
      </x:c>
      <x:c r="N352" s="1" t="n">
        <x:v>72.5</x:v>
      </x:c>
      <x:c r="O352" s="1" t="str">
        <x:v>29</x:v>
      </x:c>
      <x:c r="P352" s="1" t="str">
        <x:v>24143</x:v>
      </x:c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</x:row>
    <x:row r="353">
      <x:c r="A353" s="1" t="n">
        <x:v>29</x:v>
      </x:c>
      <x:c r="B353" s="1"/>
      <x:c r="C353" s="1"/>
      <x:c r="D353" s="1"/>
      <x:c r="E353" s="1"/>
      <x:c r="F353" s="1"/>
      <x:c r="G353" s="1" t="n">
        <x:v>2</x:v>
      </x:c>
      <x:c r="H353" s="1"/>
      <x:c r="I353" s="1" t="n">
        <x:v>0.88</x:v>
      </x:c>
      <x:c r="J353" s="1" t="str">
        <x:v>-99</x:v>
      </x:c>
      <x:c r="K353" s="1" t="n">
        <x:v>4.07</x:v>
      </x:c>
      <x:c r="L353" s="1"/>
      <x:c r="M353" s="1"/>
      <x:c r="N353" s="1" t="n">
        <x:v>63.5</x:v>
      </x:c>
      <x:c r="O353" s="1" t="str">
        <x:v>29</x:v>
      </x:c>
      <x:c r="P353" s="3" t="d">
        <x:v>2024-07-01T00:00:00.000Z</x:v>
      </x:c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</x:row>
    <x:row r="354">
      <x:c r="A354" s="1" t="n">
        <x:v>29</x:v>
      </x:c>
      <x:c r="B354" s="1"/>
      <x:c r="C354" s="1"/>
      <x:c r="D354" s="1"/>
      <x:c r="E354" s="1"/>
      <x:c r="F354" s="1"/>
      <x:c r="G354" s="1" t="n">
        <x:v>2</x:v>
      </x:c>
      <x:c r="H354" s="1"/>
      <x:c r="I354" s="1" t="n">
        <x:v>0.82</x:v>
      </x:c>
      <x:c r="J354" s="1"/>
      <x:c r="K354" s="1" t="n">
        <x:v>2.69</x:v>
      </x:c>
      <x:c r="L354" s="1"/>
      <x:c r="M354" s="1"/>
      <x:c r="N354" s="1" t="n">
        <x:v>53</x:v>
      </x:c>
      <x:c r="O354" s="1" t="str">
        <x:v>29</x:v>
      </x:c>
      <x:c r="P354" s="1" t="str">
        <x:v> 2024-08-15</x:v>
      </x:c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</x:row>
    <x:row r="355">
      <x:c r="A355" s="1" t="n">
        <x:v>47</x:v>
      </x:c>
      <x:c r="B355" s="1"/>
      <x:c r="C355" s="1"/>
      <x:c r="D355" s="1" t="n">
        <x:v>11.62</x:v>
      </x:c>
      <x:c r="E355" s="1" t="n">
        <x:v>10561</x:v>
      </x:c>
      <x:c r="F355" s="1"/>
      <x:c r="G355" s="1" t="n">
        <x:v>1</x:v>
      </x:c>
      <x:c r="H355" s="1" t="str">
        <x:v>-99</x:v>
      </x:c>
      <x:c r="I355" s="1"/>
      <x:c r="J355" s="1"/>
      <x:c r="K355" s="1" t="n">
        <x:v>3.7</x:v>
      </x:c>
      <x:c r="L355" s="1"/>
      <x:c r="M355" s="1"/>
      <x:c r="N355" s="1"/>
      <x:c r="O355" s="1" t="str">
        <x:v>47</x:v>
      </x:c>
      <x:c r="P355" s="1" t="str">
        <x:v>2025-6-9</x:v>
      </x:c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</x:row>
    <x:row r="356">
      <x:c r="A356" s="1" t="n">
        <x:v>47</x:v>
      </x:c>
      <x:c r="B356" s="1"/>
      <x:c r="C356" s="1"/>
      <x:c r="D356" s="1" t="n">
        <x:v>12.46</x:v>
      </x:c>
      <x:c r="E356" s="1" t="n">
        <x:v>10982</x:v>
      </x:c>
      <x:c r="F356" s="1"/>
      <x:c r="G356" s="1" t="n">
        <x:v>2</x:v>
      </x:c>
      <x:c r="H356" s="1" t="str">
        <x:v>-99.0</x:v>
      </x:c>
      <x:c r="I356" s="1"/>
      <x:c r="J356" s="1"/>
      <x:c r="K356" s="1" t="n">
        <x:v>4.07</x:v>
      </x:c>
      <x:c r="L356" s="1"/>
      <x:c r="M356" s="1"/>
      <x:c r="N356" s="1"/>
      <x:c r="O356" s="1" t="str">
        <x:v>47</x:v>
      </x:c>
      <x:c r="P356" s="1" t="str">
        <x:v>25193</x:v>
      </x:c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</x:row>
    <x:row r="357">
      <x:c r="A357" s="1" t="n">
        <x:v>47</x:v>
      </x:c>
      <x:c r="B357" s="1"/>
      <x:c r="C357" s="1"/>
      <x:c r="D357" s="1" t="n">
        <x:v>10.43</x:v>
      </x:c>
      <x:c r="E357" s="1" t="n">
        <x:v>9964</x:v>
      </x:c>
      <x:c r="F357" s="1"/>
      <x:c r="G357" s="1" t="n">
        <x:v>2</x:v>
      </x:c>
      <x:c r="H357" s="1"/>
      <x:c r="I357" s="1"/>
      <x:c r="J357" s="1"/>
      <x:c r="K357" s="1" t="n">
        <x:v>2.69</x:v>
      </x:c>
      <x:c r="L357" s="1"/>
      <x:c r="M357" s="1" t="str">
        <x:v>-99</x:v>
      </x:c>
      <x:c r="N357" s="1"/>
      <x:c r="O357" s="1" t="str">
        <x:v>47</x:v>
      </x:c>
      <x:c r="P357" s="3" t="d">
        <x:v>2025-08-19T00:00:00.000Z</x:v>
      </x:c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</x:row>
    <x:row r="358">
      <x:c r="A358" s="1" t="n">
        <x:v>65</x:v>
      </x:c>
      <x:c r="B358" s="1"/>
      <x:c r="C358" s="1"/>
      <x:c r="D358" s="1"/>
      <x:c r="E358" s="1"/>
      <x:c r="F358" s="1"/>
      <x:c r="G358" s="1" t="n">
        <x:v>2</x:v>
      </x:c>
      <x:c r="H358" s="1"/>
      <x:c r="I358" s="1" t="str">
        <x:v>-99.0</x:v>
      </x:c>
      <x:c r="J358" s="1"/>
      <x:c r="K358" s="1" t="n">
        <x:v>3.7</x:v>
      </x:c>
      <x:c r="L358" s="1" t="n">
        <x:v>0.79</x:v>
      </x:c>
      <x:c r="M358" s="1" t="n">
        <x:v>2.91</x:v>
      </x:c>
      <x:c r="N358" s="1" t="str">
        <x:v>-99</x:v>
      </x:c>
      <x:c r="O358" s="1" t="str">
        <x:v>65</x:v>
      </x:c>
      <x:c r="P358" s="1" t="str">
        <x:v> 2026-04-18</x:v>
      </x:c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</x:row>
    <x:row r="359">
      <x:c r="A359" s="1" t="n">
        <x:v>65</x:v>
      </x:c>
      <x:c r="B359" s="1"/>
      <x:c r="C359" s="1"/>
      <x:c r="D359" s="1"/>
      <x:c r="E359" s="1" t="str">
        <x:v>-99.0</x:v>
      </x:c>
      <x:c r="F359" s="1"/>
      <x:c r="G359" s="1" t="n">
        <x:v>2</x:v>
      </x:c>
      <x:c r="H359" s="1"/>
      <x:c r="I359" s="1"/>
      <x:c r="J359" s="1"/>
      <x:c r="K359" s="1" t="n">
        <x:v>4.07</x:v>
      </x:c>
      <x:c r="L359" s="1" t="n">
        <x:v>0.65</x:v>
      </x:c>
      <x:c r="M359" s="1" t="n">
        <x:v>3.42</x:v>
      </x:c>
      <x:c r="N359" s="1"/>
      <x:c r="O359" s="1" t="str">
        <x:v>65</x:v>
      </x:c>
      <x:c r="P359" s="1" t="str">
        <x:v>2026-5-26</x:v>
      </x:c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</x:row>
    <x:row r="360">
      <x:c r="A360" s="1" t="n">
        <x:v>65</x:v>
      </x:c>
      <x:c r="B360" s="1"/>
      <x:c r="C360" s="1"/>
      <x:c r="D360" s="1"/>
      <x:c r="E360" s="1"/>
      <x:c r="F360" s="1"/>
      <x:c r="G360" s="1" t="n">
        <x:v>2</x:v>
      </x:c>
      <x:c r="H360" s="1"/>
      <x:c r="I360" s="1"/>
      <x:c r="J360" s="1"/>
      <x:c r="K360" s="1" t="n">
        <x:v>2.69</x:v>
      </x:c>
      <x:c r="L360" s="1" t="n">
        <x:v>0.49</x:v>
      </x:c>
      <x:c r="M360" s="1" t="n">
        <x:v>2.2</x:v>
      </x:c>
      <x:c r="N360" s="1"/>
      <x:c r="O360" s="1" t="str">
        <x:v>65</x:v>
      </x:c>
      <x:c r="P360" s="1" t="str">
        <x:v>26189</x:v>
      </x:c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</x:row>
    <x:row r="361">
      <x:c r="A361" s="1" t="n">
        <x:v>17</x:v>
      </x:c>
      <x:c r="B361" s="1"/>
      <x:c r="C361" s="1"/>
      <x:c r="D361" s="1"/>
      <x:c r="E361" s="1" t="str">
        <x:v>-99</x:v>
      </x:c>
      <x:c r="F361" s="1"/>
      <x:c r="G361" s="1" t="n">
        <x:v>2</x:v>
      </x:c>
      <x:c r="H361" s="1" t="n">
        <x:v>20</x:v>
      </x:c>
      <x:c r="I361" s="1" t="n">
        <x:v>0.93</x:v>
      </x:c>
      <x:c r="J361" s="1" t="n">
        <x:v>1</x:v>
      </x:c>
      <x:c r="K361" s="1" t="n">
        <x:v>3.7</x:v>
      </x:c>
      <x:c r="L361" s="1"/>
      <x:c r="M361" s="1"/>
      <x:c r="N361" s="1" t="n">
        <x:v>72.5</x:v>
      </x:c>
      <x:c r="O361" s="1" t="str">
        <x:v>17</x:v>
      </x:c>
      <x:c r="P361" s="3" t="d">
        <x:v>2023-04-09T00:00:00.000Z</x:v>
      </x:c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</x:row>
    <x:row r="362">
      <x:c r="A362" s="1" t="n">
        <x:v>17</x:v>
      </x:c>
      <x:c r="B362" s="1"/>
      <x:c r="C362" s="1"/>
      <x:c r="D362" s="1" t="str">
        <x:v>-99</x:v>
      </x:c>
      <x:c r="E362" s="1"/>
      <x:c r="F362" s="1"/>
      <x:c r="G362" s="1" t="n">
        <x:v>2</x:v>
      </x:c>
      <x:c r="H362" s="1" t="n">
        <x:v>20</x:v>
      </x:c>
      <x:c r="I362" s="1" t="n">
        <x:v>0.88</x:v>
      </x:c>
      <x:c r="J362" s="1" t="n">
        <x:v>1</x:v>
      </x:c>
      <x:c r="K362" s="1" t="n">
        <x:v>4.07</x:v>
      </x:c>
      <x:c r="L362" s="1"/>
      <x:c r="M362" s="1" t="str">
        <x:v>-99</x:v>
      </x:c>
      <x:c r="N362" s="1" t="n">
        <x:v>63.5</x:v>
      </x:c>
      <x:c r="O362" s="1" t="str">
        <x:v>17</x:v>
      </x:c>
      <x:c r="P362" s="1" t="str">
        <x:v> 2023-05-15</x:v>
      </x:c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</x:row>
    <x:row r="363">
      <x:c r="A363" s="1" t="n">
        <x:v>17</x:v>
      </x:c>
      <x:c r="B363" s="1"/>
      <x:c r="C363" s="1"/>
      <x:c r="D363" s="1"/>
      <x:c r="E363" s="1"/>
      <x:c r="F363" s="1"/>
      <x:c r="G363" s="1" t="n">
        <x:v>2</x:v>
      </x:c>
      <x:c r="H363" s="1" t="n">
        <x:v>20</x:v>
      </x:c>
      <x:c r="I363" s="1" t="n">
        <x:v>0.82</x:v>
      </x:c>
      <x:c r="J363" s="1" t="n">
        <x:v>1</x:v>
      </x:c>
      <x:c r="K363" s="1" t="n">
        <x:v>2.69</x:v>
      </x:c>
      <x:c r="L363" s="1"/>
      <x:c r="M363" s="1"/>
      <x:c r="N363" s="1" t="n">
        <x:v>53</x:v>
      </x:c>
      <x:c r="O363" s="1" t="str">
        <x:v>17</x:v>
      </x:c>
      <x:c r="P363" s="1" t="str">
        <x:v>2023-6-26</x:v>
      </x:c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</x:row>
    <x:row r="364">
      <x:c r="A364" s="1" t="n">
        <x:v>35</x:v>
      </x:c>
      <x:c r="B364" s="1"/>
      <x:c r="C364" s="1"/>
      <x:c r="D364" s="1" t="n">
        <x:v>11.62</x:v>
      </x:c>
      <x:c r="E364" s="1" t="n">
        <x:v>10561</x:v>
      </x:c>
      <x:c r="F364" s="1"/>
      <x:c r="G364" s="1" t="n">
        <x:v>2</x:v>
      </x:c>
      <x:c r="H364" s="1" t="n">
        <x:v>25</x:v>
      </x:c>
      <x:c r="I364" s="1"/>
      <x:c r="J364" s="1" t="n">
        <x:v>1</x:v>
      </x:c>
      <x:c r="K364" s="1" t="n">
        <x:v>3.7</x:v>
      </x:c>
      <x:c r="L364" s="1"/>
      <x:c r="M364" s="1"/>
      <x:c r="N364" s="1"/>
      <x:c r="O364" s="1" t="str">
        <x:v>35</x:v>
      </x:c>
      <x:c r="P364" s="1" t="str">
        <x:v>24143</x:v>
      </x:c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</x:row>
    <x:row r="365">
      <x:c r="A365" s="1" t="n">
        <x:v>35</x:v>
      </x:c>
      <x:c r="B365" s="1"/>
      <x:c r="C365" s="1"/>
      <x:c r="D365" s="1" t="n">
        <x:v>12.46</x:v>
      </x:c>
      <x:c r="E365" s="1" t="n">
        <x:v>10982</x:v>
      </x:c>
      <x:c r="F365" s="1"/>
      <x:c r="G365" s="1" t="n">
        <x:v>2</x:v>
      </x:c>
      <x:c r="H365" s="1" t="n">
        <x:v>55</x:v>
      </x:c>
      <x:c r="I365" s="1"/>
      <x:c r="J365" s="1" t="n">
        <x:v>2</x:v>
      </x:c>
      <x:c r="K365" s="1" t="n">
        <x:v>4.07</x:v>
      </x:c>
      <x:c r="L365" s="1"/>
      <x:c r="M365" s="1"/>
      <x:c r="N365" s="1" t="str">
        <x:v>-99</x:v>
      </x:c>
      <x:c r="O365" s="1" t="str">
        <x:v>35</x:v>
      </x:c>
      <x:c r="P365" s="3" t="d">
        <x:v>2024-07-01T00:00:00.000Z</x:v>
      </x:c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</x:row>
    <x:row r="366">
      <x:c r="A366" s="1" t="n">
        <x:v>35</x:v>
      </x:c>
      <x:c r="B366" s="1"/>
      <x:c r="C366" s="1"/>
      <x:c r="D366" s="1" t="n">
        <x:v>10.43</x:v>
      </x:c>
      <x:c r="E366" s="1" t="n">
        <x:v>9964</x:v>
      </x:c>
      <x:c r="F366" s="1"/>
      <x:c r="G366" s="1" t="n">
        <x:v>2</x:v>
      </x:c>
      <x:c r="H366" s="1" t="n">
        <x:v>55</x:v>
      </x:c>
      <x:c r="I366" s="1"/>
      <x:c r="J366" s="1" t="n">
        <x:v>2</x:v>
      </x:c>
      <x:c r="K366" s="1" t="n">
        <x:v>2.69</x:v>
      </x:c>
      <x:c r="L366" s="1"/>
      <x:c r="M366" s="1"/>
      <x:c r="N366" s="1"/>
      <x:c r="O366" s="1" t="str">
        <x:v>35</x:v>
      </x:c>
      <x:c r="P366" s="1" t="str">
        <x:v> 2024-08-15</x:v>
      </x:c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</x:row>
    <x:row r="367">
      <x:c r="A367" s="1" t="n">
        <x:v>53</x:v>
      </x:c>
      <x:c r="B367" s="1"/>
      <x:c r="C367" s="1"/>
      <x:c r="D367" s="1"/>
      <x:c r="E367" s="1"/>
      <x:c r="F367" s="1"/>
      <x:c r="G367" s="1" t="n">
        <x:v>1</x:v>
      </x:c>
      <x:c r="H367" s="1" t="n">
        <x:v>24</x:v>
      </x:c>
      <x:c r="I367" s="1"/>
      <x:c r="J367" s="1" t="n">
        <x:v>2</x:v>
      </x:c>
      <x:c r="K367" s="1" t="n">
        <x:v>3.7</x:v>
      </x:c>
      <x:c r="L367" s="1" t="n">
        <x:v>0.79</x:v>
      </x:c>
      <x:c r="M367" s="1" t="n">
        <x:v>2.91</x:v>
      </x:c>
      <x:c r="N367" s="1"/>
      <x:c r="O367" s="1" t="str">
        <x:v>53</x:v>
      </x:c>
      <x:c r="P367" s="1" t="str">
        <x:v>2025-6-9</x:v>
      </x:c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</x:row>
    <x:row r="368">
      <x:c r="A368" s="1" t="n">
        <x:v>53</x:v>
      </x:c>
      <x:c r="B368" s="1"/>
      <x:c r="C368" s="1"/>
      <x:c r="D368" s="1"/>
      <x:c r="E368" s="1"/>
      <x:c r="F368" s="1" t="str">
        <x:v>-99</x:v>
      </x:c>
      <x:c r="G368" s="1" t="n">
        <x:v>2</x:v>
      </x:c>
      <x:c r="H368" s="1" t="n">
        <x:v>40</x:v>
      </x:c>
      <x:c r="I368" s="1"/>
      <x:c r="J368" s="1" t="n">
        <x:v>3</x:v>
      </x:c>
      <x:c r="K368" s="1" t="n">
        <x:v>4.07</x:v>
      </x:c>
      <x:c r="L368" s="1" t="n">
        <x:v>0.65</x:v>
      </x:c>
      <x:c r="M368" s="1" t="n">
        <x:v>3.42</x:v>
      </x:c>
      <x:c r="N368" s="1"/>
      <x:c r="O368" s="1" t="str">
        <x:v>53</x:v>
      </x:c>
      <x:c r="P368" s="1" t="str">
        <x:v>25193</x:v>
      </x:c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</x:row>
    <x:row r="369">
      <x:c r="A369" s="1" t="n">
        <x:v>53</x:v>
      </x:c>
      <x:c r="B369" s="1"/>
      <x:c r="C369" s="1"/>
      <x:c r="D369" s="1" t="str">
        <x:v>-99.0</x:v>
      </x:c>
      <x:c r="E369" s="1"/>
      <x:c r="F369" s="1"/>
      <x:c r="G369" s="1" t="n">
        <x:v>2</x:v>
      </x:c>
      <x:c r="H369" s="1" t="n">
        <x:v>40</x:v>
      </x:c>
      <x:c r="I369" s="1"/>
      <x:c r="J369" s="1" t="n">
        <x:v>3</x:v>
      </x:c>
      <x:c r="K369" s="1" t="n">
        <x:v>2.69</x:v>
      </x:c>
      <x:c r="L369" s="1" t="n">
        <x:v>0.49</x:v>
      </x:c>
      <x:c r="M369" s="1" t="n">
        <x:v>2.2</x:v>
      </x:c>
      <x:c r="N369" s="1"/>
      <x:c r="O369" s="1" t="str">
        <x:v>53</x:v>
      </x:c>
      <x:c r="P369" s="3" t="d">
        <x:v>2025-08-19T00:00:00.000Z</x:v>
      </x:c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</x:row>
    <x:row r="370">
      <x:c r="A370" s="1" t="n">
        <x:v>71</x:v>
      </x:c>
      <x:c r="B370" s="1"/>
      <x:c r="C370" s="1"/>
      <x:c r="D370" s="1"/>
      <x:c r="E370" s="1"/>
      <x:c r="F370" s="1" t="str">
        <x:v>-99.0</x:v>
      </x:c>
      <x:c r="G370" s="1" t="n">
        <x:v>2</x:v>
      </x:c>
      <x:c r="H370" s="1" t="n">
        <x:v>25</x:v>
      </x:c>
      <x:c r="I370" s="1" t="n">
        <x:v>0.93</x:v>
      </x:c>
      <x:c r="J370" s="1" t="n">
        <x:v>1</x:v>
      </x:c>
      <x:c r="K370" s="1" t="n">
        <x:v>3.7</x:v>
      </x:c>
      <x:c r="L370" s="1"/>
      <x:c r="M370" s="1" t="str">
        <x:v>-99</x:v>
      </x:c>
      <x:c r="N370" s="1" t="n">
        <x:v>72.5</x:v>
      </x:c>
      <x:c r="O370" s="1" t="str">
        <x:v>71</x:v>
      </x:c>
      <x:c r="P370" s="1" t="str">
        <x:v> 2026-04-18</x:v>
      </x:c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</x:row>
    <x:row r="371">
      <x:c r="A371" s="1" t="n">
        <x:v>71</x:v>
      </x:c>
      <x:c r="B371" s="1"/>
      <x:c r="C371" s="1"/>
      <x:c r="D371" s="1"/>
      <x:c r="E371" s="1"/>
      <x:c r="F371" s="1"/>
      <x:c r="G371" s="1" t="n">
        <x:v>2</x:v>
      </x:c>
      <x:c r="H371" s="1" t="n">
        <x:v>25</x:v>
      </x:c>
      <x:c r="I371" s="1" t="n">
        <x:v>0.88</x:v>
      </x:c>
      <x:c r="J371" s="1" t="n">
        <x:v>1</x:v>
      </x:c>
      <x:c r="K371" s="1" t="n">
        <x:v>4.07</x:v>
      </x:c>
      <x:c r="L371" s="1"/>
      <x:c r="M371" s="1"/>
      <x:c r="N371" s="1" t="n">
        <x:v>63.5</x:v>
      </x:c>
      <x:c r="O371" s="1" t="str">
        <x:v>71</x:v>
      </x:c>
      <x:c r="P371" s="1" t="str">
        <x:v>2026-5-26</x:v>
      </x:c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</x:row>
    <x:row r="372">
      <x:c r="A372" s="1" t="n">
        <x:v>71</x:v>
      </x:c>
      <x:c r="B372" s="1"/>
      <x:c r="C372" s="1"/>
      <x:c r="D372" s="1"/>
      <x:c r="E372" s="1" t="str">
        <x:v>-99</x:v>
      </x:c>
      <x:c r="F372" s="1" t="str">
        <x:v>-99</x:v>
      </x:c>
      <x:c r="G372" s="1" t="n">
        <x:v>2</x:v>
      </x:c>
      <x:c r="H372" s="1" t="n">
        <x:v>25</x:v>
      </x:c>
      <x:c r="I372" s="1" t="n">
        <x:v>0.82</x:v>
      </x:c>
      <x:c r="J372" s="1" t="n">
        <x:v>1</x:v>
      </x:c>
      <x:c r="K372" s="1" t="n">
        <x:v>2.69</x:v>
      </x:c>
      <x:c r="L372" s="1"/>
      <x:c r="M372" s="1"/>
      <x:c r="N372" s="1" t="n">
        <x:v>53</x:v>
      </x:c>
      <x:c r="O372" s="1" t="str">
        <x:v>71</x:v>
      </x:c>
      <x:c r="P372" s="1" t="str">
        <x:v>26189</x:v>
      </x:c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</x:row>
    <x:row r="373">
      <x:c r="A373" s="1" t="n">
        <x:v>23</x:v>
      </x:c>
      <x:c r="B373" s="1"/>
      <x:c r="C373" s="1"/>
      <x:c r="D373" s="1" t="n">
        <x:v>11.62</x:v>
      </x:c>
      <x:c r="E373" s="1" t="n">
        <x:v>10561</x:v>
      </x:c>
      <x:c r="F373" s="1"/>
      <x:c r="G373" s="1" t="n">
        <x:v>2</x:v>
      </x:c>
      <x:c r="H373" s="1"/>
      <x:c r="I373" s="1"/>
      <x:c r="J373" s="1"/>
      <x:c r="K373" s="1" t="n">
        <x:v>3.7</x:v>
      </x:c>
      <x:c r="L373" s="1" t="str">
        <x:v>-99</x:v>
      </x:c>
      <x:c r="M373" s="1" t="str">
        <x:v>-99.0</x:v>
      </x:c>
      <x:c r="N373" s="1"/>
      <x:c r="O373" s="1" t="str">
        <x:v>23</x:v>
      </x:c>
      <x:c r="P373" s="3" t="d">
        <x:v>2023-04-09T00:00:00.000Z</x:v>
      </x:c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</x:row>
    <x:row r="374">
      <x:c r="A374" s="1" t="n">
        <x:v>23</x:v>
      </x:c>
      <x:c r="B374" s="1"/>
      <x:c r="C374" s="1"/>
      <x:c r="D374" s="1" t="n">
        <x:v>12.46</x:v>
      </x:c>
      <x:c r="E374" s="1" t="n">
        <x:v>10982</x:v>
      </x:c>
      <x:c r="F374" s="1"/>
      <x:c r="G374" s="1" t="n">
        <x:v>2</x:v>
      </x:c>
      <x:c r="H374" s="1"/>
      <x:c r="I374" s="1"/>
      <x:c r="J374" s="1" t="str">
        <x:v>-99</x:v>
      </x:c>
      <x:c r="K374" s="1" t="n">
        <x:v>4.07</x:v>
      </x:c>
      <x:c r="L374" s="1"/>
      <x:c r="M374" s="1"/>
      <x:c r="N374" s="1"/>
      <x:c r="O374" s="1" t="str">
        <x:v>23</x:v>
      </x:c>
      <x:c r="P374" s="1" t="str">
        <x:v> 2023-05-15</x:v>
      </x:c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</x:row>
    <x:row r="375">
      <x:c r="A375" s="1" t="n">
        <x:v>23</x:v>
      </x:c>
      <x:c r="B375" s="1"/>
      <x:c r="C375" s="1"/>
      <x:c r="D375" s="1" t="n">
        <x:v>10.43</x:v>
      </x:c>
      <x:c r="E375" s="1" t="n">
        <x:v>9964</x:v>
      </x:c>
      <x:c r="F375" s="1"/>
      <x:c r="G375" s="1" t="n">
        <x:v>2</x:v>
      </x:c>
      <x:c r="H375" s="1"/>
      <x:c r="I375" s="1"/>
      <x:c r="J375" s="1"/>
      <x:c r="K375" s="1" t="n">
        <x:v>2.69</x:v>
      </x:c>
      <x:c r="L375" s="1"/>
      <x:c r="M375" s="1"/>
      <x:c r="N375" s="1"/>
      <x:c r="O375" s="1" t="str">
        <x:v>23</x:v>
      </x:c>
      <x:c r="P375" s="1" t="str">
        <x:v>2023-6-26</x:v>
      </x:c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</x:row>
    <x:row r="376">
      <x:c r="A376" s="1" t="n">
        <x:v>41</x:v>
      </x:c>
      <x:c r="B376" s="1"/>
      <x:c r="C376" s="1"/>
      <x:c r="D376" s="1"/>
      <x:c r="E376" s="1"/>
      <x:c r="F376" s="1"/>
      <x:c r="G376" s="1" t="n">
        <x:v>2</x:v>
      </x:c>
      <x:c r="H376" s="1"/>
      <x:c r="I376" s="1"/>
      <x:c r="J376" s="1"/>
      <x:c r="K376" s="1" t="n">
        <x:v>3.7</x:v>
      </x:c>
      <x:c r="L376" s="1" t="n">
        <x:v>0.79</x:v>
      </x:c>
      <x:c r="M376" s="1" t="n">
        <x:v>2.91</x:v>
      </x:c>
      <x:c r="N376" s="1" t="str">
        <x:v>-99</x:v>
      </x:c>
      <x:c r="O376" s="1" t="str">
        <x:v>41</x:v>
      </x:c>
      <x:c r="P376" s="1" t="str">
        <x:v>24143</x:v>
      </x:c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</x:row>
    <x:row r="377">
      <x:c r="A377" s="1" t="n">
        <x:v>41</x:v>
      </x:c>
      <x:c r="B377" s="1"/>
      <x:c r="C377" s="1"/>
      <x:c r="D377" s="1"/>
      <x:c r="E377" s="1"/>
      <x:c r="F377" s="1"/>
      <x:c r="G377" s="1" t="n">
        <x:v>2</x:v>
      </x:c>
      <x:c r="H377" s="1"/>
      <x:c r="I377" s="1"/>
      <x:c r="J377" s="1"/>
      <x:c r="K377" s="1" t="n">
        <x:v>4.07</x:v>
      </x:c>
      <x:c r="L377" s="1" t="n">
        <x:v>0.65</x:v>
      </x:c>
      <x:c r="M377" s="1" t="n">
        <x:v>3.42</x:v>
      </x:c>
      <x:c r="N377" s="1"/>
      <x:c r="O377" s="1" t="str">
        <x:v>41</x:v>
      </x:c>
      <x:c r="P377" s="3" t="d">
        <x:v>2024-07-01T00:00:00.000Z</x:v>
      </x:c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</x:row>
    <x:row r="378">
      <x:c r="A378" s="1" t="n">
        <x:v>41</x:v>
      </x:c>
      <x:c r="B378" s="1" t="str">
        <x:v>-99.0</x:v>
      </x:c>
      <x:c r="C378" s="1"/>
      <x:c r="D378" s="1"/>
      <x:c r="E378" s="1"/>
      <x:c r="F378" s="1"/>
      <x:c r="G378" s="1" t="n">
        <x:v>2</x:v>
      </x:c>
      <x:c r="H378" s="1"/>
      <x:c r="I378" s="1"/>
      <x:c r="J378" s="1"/>
      <x:c r="K378" s="1" t="n">
        <x:v>2.69</x:v>
      </x:c>
      <x:c r="L378" s="1" t="n">
        <x:v>0.49</x:v>
      </x:c>
      <x:c r="M378" s="1" t="n">
        <x:v>2.2</x:v>
      </x:c>
      <x:c r="N378" s="1"/>
      <x:c r="O378" s="1" t="str">
        <x:v>41</x:v>
      </x:c>
      <x:c r="P378" s="1" t="str">
        <x:v> 2024-08-15</x:v>
      </x:c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</x:row>
    <x:row r="379">
      <x:c r="A379" s="1" t="n">
        <x:v>59</x:v>
      </x:c>
      <x:c r="B379" s="1"/>
      <x:c r="C379" s="1"/>
      <x:c r="D379" s="1"/>
      <x:c r="E379" s="1"/>
      <x:c r="F379" s="1"/>
      <x:c r="G379" s="1" t="n">
        <x:v>1</x:v>
      </x:c>
      <x:c r="H379" s="1"/>
      <x:c r="I379" s="1" t="n">
        <x:v>0.93</x:v>
      </x:c>
      <x:c r="J379" s="1"/>
      <x:c r="K379" s="1" t="n">
        <x:v>3.7</x:v>
      </x:c>
      <x:c r="L379" s="1"/>
      <x:c r="M379" s="1"/>
      <x:c r="N379" s="1" t="n">
        <x:v>72.5</x:v>
      </x:c>
      <x:c r="O379" s="1" t="str">
        <x:v>59</x:v>
      </x:c>
      <x:c r="P379" s="1" t="str">
        <x:v>2025-6-9</x:v>
      </x:c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</x:row>
    <x:row r="380">
      <x:c r="A380" s="1" t="n">
        <x:v>59</x:v>
      </x:c>
      <x:c r="B380" s="1"/>
      <x:c r="C380" s="1"/>
      <x:c r="D380" s="1"/>
      <x:c r="E380" s="1"/>
      <x:c r="F380" s="1" t="str">
        <x:v>-99.0</x:v>
      </x:c>
      <x:c r="G380" s="1" t="n">
        <x:v>2</x:v>
      </x:c>
      <x:c r="H380" s="1"/>
      <x:c r="I380" s="1" t="n">
        <x:v>0.88</x:v>
      </x:c>
      <x:c r="J380" s="1"/>
      <x:c r="K380" s="1" t="n">
        <x:v>4.07</x:v>
      </x:c>
      <x:c r="L380" s="1"/>
      <x:c r="M380" s="1"/>
      <x:c r="N380" s="1" t="n">
        <x:v>63.5</x:v>
      </x:c>
      <x:c r="O380" s="1" t="str">
        <x:v>59</x:v>
      </x:c>
      <x:c r="P380" s="1" t="str">
        <x:v>25193</x:v>
      </x:c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</x:row>
    <x:row r="381">
      <x:c r="A381" s="1" t="n">
        <x:v>59</x:v>
      </x:c>
      <x:c r="B381" s="1"/>
      <x:c r="C381" s="1"/>
      <x:c r="D381" s="1"/>
      <x:c r="E381" s="1"/>
      <x:c r="F381" s="1"/>
      <x:c r="G381" s="1" t="n">
        <x:v>2</x:v>
      </x:c>
      <x:c r="H381" s="1"/>
      <x:c r="I381" s="1" t="n">
        <x:v>0.82</x:v>
      </x:c>
      <x:c r="J381" s="1"/>
      <x:c r="K381" s="1" t="n">
        <x:v>2.69</x:v>
      </x:c>
      <x:c r="L381" s="1"/>
      <x:c r="M381" s="1"/>
      <x:c r="N381" s="1" t="n">
        <x:v>53</x:v>
      </x:c>
      <x:c r="O381" s="1" t="str">
        <x:v>59</x:v>
      </x:c>
      <x:c r="P381" s="3" t="d">
        <x:v>2025-08-19T00:00:00.000Z</x:v>
      </x:c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</x:row>
    <x:row r="382">
      <x:c r="A382" s="1" t="n">
        <x:v>77</x:v>
      </x:c>
      <x:c r="B382" s="1"/>
      <x:c r="C382" s="1"/>
      <x:c r="D382" s="1" t="n">
        <x:v>11.62</x:v>
      </x:c>
      <x:c r="E382" s="1" t="n">
        <x:v>10561</x:v>
      </x:c>
      <x:c r="F382" s="1"/>
      <x:c r="G382" s="1" t="n">
        <x:v>2</x:v>
      </x:c>
      <x:c r="H382" s="1"/>
      <x:c r="I382" s="1"/>
      <x:c r="J382" s="1"/>
      <x:c r="K382" s="1" t="n">
        <x:v>3.7</x:v>
      </x:c>
      <x:c r="L382" s="1"/>
      <x:c r="M382" s="1"/>
      <x:c r="N382" s="1"/>
      <x:c r="O382" s="1" t="str">
        <x:v>77</x:v>
      </x:c>
      <x:c r="P382" s="1" t="str">
        <x:v> 2026-04-18</x:v>
      </x:c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</x:row>
    <x:row r="383">
      <x:c r="A383" s="1" t="n">
        <x:v>77</x:v>
      </x:c>
      <x:c r="B383" s="1"/>
      <x:c r="C383" s="1"/>
      <x:c r="D383" s="1" t="n">
        <x:v>12.46</x:v>
      </x:c>
      <x:c r="E383" s="1" t="n">
        <x:v>10982</x:v>
      </x:c>
      <x:c r="F383" s="1"/>
      <x:c r="G383" s="1" t="n">
        <x:v>2</x:v>
      </x:c>
      <x:c r="H383" s="1"/>
      <x:c r="I383" s="1"/>
      <x:c r="J383" s="1"/>
      <x:c r="K383" s="1" t="n">
        <x:v>4.07</x:v>
      </x:c>
      <x:c r="L383" s="1"/>
      <x:c r="M383" s="1"/>
      <x:c r="N383" s="1"/>
      <x:c r="O383" s="1" t="str">
        <x:v>77</x:v>
      </x:c>
      <x:c r="P383" s="1" t="str">
        <x:v>2026-5-26</x:v>
      </x:c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</x:row>
    <x:row r="384">
      <x:c r="A384" s="1" t="n">
        <x:v>77</x:v>
      </x:c>
      <x:c r="B384" s="1"/>
      <x:c r="C384" s="1"/>
      <x:c r="D384" s="1" t="n">
        <x:v>10.43</x:v>
      </x:c>
      <x:c r="E384" s="1" t="n">
        <x:v>9964</x:v>
      </x:c>
      <x:c r="F384" s="1"/>
      <x:c r="G384" s="1" t="n">
        <x:v>2</x:v>
      </x:c>
      <x:c r="H384" s="1"/>
      <x:c r="I384" s="1"/>
      <x:c r="J384" s="1"/>
      <x:c r="K384" s="1" t="n">
        <x:v>2.69</x:v>
      </x:c>
      <x:c r="L384" s="1"/>
      <x:c r="M384" s="1" t="str">
        <x:v>-99.0</x:v>
      </x:c>
      <x:c r="N384" s="1"/>
      <x:c r="O384" s="1" t="str">
        <x:v>77</x:v>
      </x:c>
      <x:c r="P384" s="1" t="str">
        <x:v>26189</x:v>
      </x:c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</x:row>
    <x:row r="386">
      <x:c r="A386" s="1" t="str">
        <x:v>! Section</x:v>
      </x:c>
      <x:c r="B386" s="1" t="str">
        <x:v>Planting_events</x:v>
      </x:c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</x:row>
    <x:row r="387">
      <x:c r="A387" s="1" t="str">
        <x:v>! Definitions</x:v>
      </x:c>
      <x:c r="B387" s="1" t="str">
        <x:v>Planting or sowing date; use YYYY-MM-DD.</x:v>
      </x:c>
      <x:c r="C387" s="1"/>
      <x:c r="D387" s="1" t="str">
        <x:v>Unique identifier for a planting treatment</x:v>
      </x:c>
      <x:c r="E387" s="1" t="str">
        <x:v>Transplant date; use YYYY-MM-DD.</x:v>
      </x:c>
      <x:c r="F387" s="1" t="str">
        <x:v>Plant population at planting</x:v>
      </x:c>
      <x:c r="G387" s="1" t="str">
        <x:v>Planting material</x:v>
      </x:c>
      <x:c r="H387" s="1" t="str">
        <x:v>Planting method</x:v>
      </x:c>
      <x:c r="I387" s="1" t="str">
        <x:v>Planting distribution</x:v>
      </x:c>
      <x:c r="J387" s="1" t="str">
        <x:v>Distance between two adjacent rows</x:v>
      </x:c>
      <x:c r="K387" s="1" t="str">
        <x:v>Plants per hill</x:v>
      </x:c>
      <x:c r="L387" s="1" t="str">
        <x:v>Transplant age</x:v>
      </x:c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</x:row>
    <x:row r="388">
      <x:c r="A388" s="1" t="str">
        <x:v>! Units</x:v>
      </x:c>
      <x:c r="B388" s="1" t="str">
        <x:v>date</x:v>
      </x:c>
      <x:c r="C388" s="1"/>
      <x:c r="D388" s="1" t="str">
        <x:v>text</x:v>
      </x:c>
      <x:c r="E388" s="1" t="str">
        <x:v>date</x:v>
      </x:c>
      <x:c r="F388" s="1" t="str">
        <x:v>number/m2</x:v>
      </x:c>
      <x:c r="G388" s="1" t="str">
        <x:v>code</x:v>
      </x:c>
      <x:c r="H388" s="1" t="str">
        <x:v>code</x:v>
      </x:c>
      <x:c r="I388" s="1" t="str">
        <x:v>code</x:v>
      </x:c>
      <x:c r="J388" s="1" t="str">
        <x:v>cm</x:v>
      </x:c>
      <x:c r="K388" s="1" t="str">
        <x:v>number</x:v>
      </x:c>
      <x:c r="L388" s="1" t="str">
        <x:v>day</x:v>
      </x:c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</x:row>
    <x:row r="389">
      <x:c r="A389" s="2" t="str">
        <x:v>%</x:v>
      </x:c>
      <x:c r="B389" s="2" t="str">
        <x:v>PDATE</x:v>
      </x:c>
      <x:c r="C389" s="2"/>
      <x:c r="D389" s="2" t="str">
        <x:v>PLTTRTID</x:v>
      </x:c>
      <x:c r="E389" s="2" t="str">
        <x:v>trdate</x:v>
      </x:c>
      <x:c r="F389" s="2" t="str">
        <x:v>PLPOP</x:v>
      </x:c>
      <x:c r="G389" s="2" t="str">
        <x:v> PLMA </x:v>
      </x:c>
      <x:c r="H389" s="2" t="str">
        <x:v>plme</x:v>
      </x:c>
      <x:c r="I389" s="2" t="str">
        <x:v>PLDS</x:v>
      </x:c>
      <x:c r="J389" s="2" t="str">
        <x:v>PLRS</x:v>
      </x:c>
      <x:c r="K389" s="2" t="str">
        <x:v>plph</x:v>
      </x:c>
      <x:c r="L389" s="2" t="str">
        <x:v> PAGE </x:v>
      </x:c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</x:row>
    <x:row r="390">
      <x:c r="A390" s="1" t="n">
        <x:v>11</x:v>
      </x:c>
      <x:c r="B390" s="3" t="d">
        <x:v>2023-03-10T00:00:00.000Z</x:v>
      </x:c>
      <x:c r="C390" s="1"/>
      <x:c r="D390" s="1" t="str">
        <x:v>S0097</x:v>
      </x:c>
      <x:c r="E390" s="1" t="str">
        <x:v>-99.0</x:v>
      </x:c>
      <x:c r="F390" s="1"/>
      <x:c r="G390" s="1"/>
      <x:c r="H390" s="1" t="str">
        <x:v>SD</x:v>
      </x:c>
      <x:c r="I390" s="1"/>
      <x:c r="J390" s="1" t="n">
        <x:v>20</x:v>
      </x:c>
      <x:c r="K390" s="1" t="str">
        <x:v>-99</x:v>
      </x:c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</x:row>
    <x:row r="391">
      <x:c r="A391" s="1" t="n">
        <x:v>17</x:v>
      </x:c>
      <x:c r="B391" s="1" t="str">
        <x:v> 2023-03-10</x:v>
      </x:c>
      <x:c r="C391" s="1"/>
      <x:c r="D391" s="1" t="str">
        <x:v>S0097</x:v>
      </x:c>
      <x:c r="E391" s="1"/>
      <x:c r="F391" s="1"/>
      <x:c r="G391" s="1"/>
      <x:c r="H391" s="1" t="str">
        <x:v>SD</x:v>
      </x:c>
      <x:c r="I391" s="1"/>
      <x:c r="J391" s="1" t="n">
        <x:v>20</x:v>
      </x:c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</x:row>
    <x:row r="392">
      <x:c r="A392" s="1" t="n">
        <x:v>23</x:v>
      </x:c>
      <x:c r="B392" s="1" t="str">
        <x:v>2023-3-10</x:v>
      </x:c>
      <x:c r="C392" s="1"/>
      <x:c r="D392" s="1" t="str">
        <x:v>S0097</x:v>
      </x:c>
      <x:c r="E392" s="1"/>
      <x:c r="F392" s="1"/>
      <x:c r="G392" s="1"/>
      <x:c r="H392" s="1" t="str">
        <x:v>SD</x:v>
      </x:c>
      <x:c r="I392" s="1"/>
      <x:c r="J392" s="1" t="n">
        <x:v>20</x:v>
      </x:c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</x:row>
    <x:row r="393">
      <x:c r="A393" s="1" t="n">
        <x:v>29</x:v>
      </x:c>
      <x:c r="B393" s="1" t="str">
        <x:v>24111</x:v>
      </x:c>
      <x:c r="C393" s="1"/>
      <x:c r="D393" s="1" t="str">
        <x:v>S0098</x:v>
      </x:c>
      <x:c r="E393" s="1"/>
      <x:c r="F393" s="1" t="n">
        <x:v>8</x:v>
      </x:c>
      <x:c r="G393" s="1"/>
      <x:c r="H393" s="1" t="str">
        <x:v>PP</x:v>
      </x:c>
      <x:c r="I393" s="1"/>
      <x:c r="J393" s="1" t="n">
        <x:v>75</x:v>
      </x:c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</x:row>
    <x:row r="394">
      <x:c r="A394" s="1" t="n">
        <x:v>35</x:v>
      </x:c>
      <x:c r="B394" s="3" t="d">
        <x:v>2024-04-20T00:00:00.000Z</x:v>
      </x:c>
      <x:c r="C394" s="1"/>
      <x:c r="D394" s="1" t="str">
        <x:v>S0098</x:v>
      </x:c>
      <x:c r="E394" s="1"/>
      <x:c r="F394" s="1" t="n">
        <x:v>8</x:v>
      </x:c>
      <x:c r="G394" s="1"/>
      <x:c r="H394" s="1" t="str">
        <x:v>PP</x:v>
      </x:c>
      <x:c r="I394" s="1" t="str">
        <x:v>N/A</x:v>
      </x:c>
      <x:c r="J394" s="1" t="n">
        <x:v>75</x:v>
      </x:c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</x:row>
    <x:row r="395">
      <x:c r="A395" s="1" t="n">
        <x:v>41</x:v>
      </x:c>
      <x:c r="B395" s="1" t="str">
        <x:v> 2024-04-20</x:v>
      </x:c>
      <x:c r="C395" s="1"/>
      <x:c r="D395" s="1" t="str">
        <x:v>S0098</x:v>
      </x:c>
      <x:c r="E395" s="1"/>
      <x:c r="F395" s="1" t="n">
        <x:v>8</x:v>
      </x:c>
      <x:c r="G395" s="1"/>
      <x:c r="H395" s="1" t="str">
        <x:v>PP</x:v>
      </x:c>
      <x:c r="I395" s="1"/>
      <x:c r="J395" s="1" t="n">
        <x:v>75</x:v>
      </x:c>
      <x:c r="K395" s="1" t="str">
        <x:v>-99</x:v>
      </x:c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</x:row>
    <x:row r="396">
      <x:c r="A396" s="1" t="n">
        <x:v>47</x:v>
      </x:c>
      <x:c r="B396" s="1" t="str">
        <x:v>2025-5-12</x:v>
      </x:c>
      <x:c r="C396" s="1"/>
      <x:c r="D396" s="1" t="str">
        <x:v>S0099</x:v>
      </x:c>
      <x:c r="E396" s="1"/>
      <x:c r="F396" s="1"/>
      <x:c r="G396" s="1"/>
      <x:c r="H396" s="1" t="str">
        <x:v>PL</x:v>
      </x:c>
      <x:c r="I396" s="1" t="str">
        <x:v>RB</x:v>
      </x:c>
      <x:c r="J396" s="1" t="n">
        <x:v>50</x:v>
      </x:c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</x:row>
    <x:row r="397">
      <x:c r="A397" s="1" t="n">
        <x:v>53</x:v>
      </x:c>
      <x:c r="B397" s="1" t="str">
        <x:v>25132</x:v>
      </x:c>
      <x:c r="C397" s="1"/>
      <x:c r="D397" s="1" t="str">
        <x:v>S0099</x:v>
      </x:c>
      <x:c r="E397" s="1"/>
      <x:c r="F397" s="1"/>
      <x:c r="G397" s="1"/>
      <x:c r="H397" s="1" t="str">
        <x:v>PL</x:v>
      </x:c>
      <x:c r="I397" s="1" t="str">
        <x:v>RB</x:v>
      </x:c>
      <x:c r="J397" s="1" t="n">
        <x:v>50</x:v>
      </x:c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</x:row>
    <x:row r="398">
      <x:c r="A398" s="1" t="n">
        <x:v>59</x:v>
      </x:c>
      <x:c r="B398" s="3" t="d">
        <x:v>2025-05-12T00:00:00.000Z</x:v>
      </x:c>
      <x:c r="C398" s="1"/>
      <x:c r="D398" s="1" t="str">
        <x:v>S0099</x:v>
      </x:c>
      <x:c r="E398" s="1"/>
      <x:c r="F398" s="1"/>
      <x:c r="G398" s="1"/>
      <x:c r="H398" s="1" t="str">
        <x:v>PL</x:v>
      </x:c>
      <x:c r="I398" s="1" t="str">
        <x:v>RB</x:v>
      </x:c>
      <x:c r="J398" s="1" t="n">
        <x:v>50</x:v>
      </x:c>
      <x:c r="K398" s="1"/>
      <x:c r="L398" s="1" t="str">
        <x:v>-99.0</x:v>
      </x:c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</x:row>
    <x:row r="399">
      <x:c r="A399" s="1" t="n">
        <x:v>65</x:v>
      </x:c>
      <x:c r="B399" s="1" t="str">
        <x:v> 2026-03-18</x:v>
      </x:c>
      <x:c r="C399" s="1"/>
      <x:c r="D399" s="1" t="str">
        <x:v>S0100</x:v>
      </x:c>
      <x:c r="E399" s="1" t="str">
        <x:v>-99</x:v>
      </x:c>
      <x:c r="F399" s="1" t="n">
        <x:v>350</x:v>
      </x:c>
      <x:c r="G399" s="1"/>
      <x:c r="H399" s="1" t="str">
        <x:v>BR</x:v>
      </x:c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</x:row>
    <x:row r="400">
      <x:c r="A400" s="1" t="n">
        <x:v>71</x:v>
      </x:c>
      <x:c r="B400" s="1" t="str">
        <x:v>2026-3-18</x:v>
      </x:c>
      <x:c r="C400" s="1"/>
      <x:c r="D400" s="1" t="str">
        <x:v>S0100</x:v>
      </x:c>
      <x:c r="E400" s="1"/>
      <x:c r="F400" s="1" t="n">
        <x:v>350</x:v>
      </x:c>
      <x:c r="G400" s="1"/>
      <x:c r="H400" s="1" t="str">
        <x:v>BR</x:v>
      </x:c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</x:row>
    <x:row r="401">
      <x:c r="A401" s="1" t="n">
        <x:v>77</x:v>
      </x:c>
      <x:c r="B401" s="1" t="str">
        <x:v>26077</x:v>
      </x:c>
      <x:c r="C401" s="1"/>
      <x:c r="D401" s="1" t="str">
        <x:v>S0100</x:v>
      </x:c>
      <x:c r="E401" s="1"/>
      <x:c r="F401" s="1" t="n">
        <x:v>350</x:v>
      </x:c>
      <x:c r="G401" s="1"/>
      <x:c r="H401" s="1" t="str">
        <x:v>BR</x:v>
      </x:c>
      <x:c r="I401" s="1"/>
      <x:c r="J401" s="1" t="str">
        <x:v>-99.0</x:v>
      </x:c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</x:row>
    <x:row r="403">
      <x:c r="A403" s="1" t="str">
        <x:v>! Section</x:v>
      </x:c>
      <x:c r="B403" s="1" t="str">
        <x:v>Soil_layer_observations_summary</x:v>
      </x:c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</x:row>
    <x:row r="404">
      <x:c r="A404" s="1" t="str">
        <x:v>! Definitions</x:v>
      </x:c>
      <x:c r="B404" s="1" t="str">
        <x:v>Soil P at maturity</x:v>
      </x:c>
      <x:c r="C404" s="1"/>
      <x:c r="D404" s="1" t="str">
        <x:v>N uptake during season</x:v>
      </x:c>
      <x:c r="E404" s="1" t="str">
        <x:v>N leached up to harvest maturity, from bottom of soil profile</x:v>
      </x:c>
      <x:c r="F404" s="1" t="str">
        <x:v>N, inorganic, in soil at harvest maturity</x:v>
      </x:c>
      <x:c r="G404" s="1" t="str">
        <x:v>Soil water, extractable at maturity</x:v>
      </x:c>
      <x:c r="H404" s="1" t="str">
        <x:v>pH of soil in water, from in-field sample</x:v>
      </x:c>
      <x:c r="I404" s="1" t="str">
        <x:v>Nitrogen, total soil, total</x:v>
      </x:c>
      <x:c r="J404" s="1" t="str">
        <x:v>Organic carbon expressed as g[C]/100 g[soil]</x:v>
      </x:c>
      <x:c r="K404" s="1" t="str">
        <x:v>Soil bulk density, moist, determined on field sample</x:v>
      </x:c>
      <x:c r="L404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M404" s="1" t="str">
        <x:v>Soil layer depth to lower boundary of sample (bottom)</x:v>
      </x:c>
      <x:c r="N404" s="1" t="str">
        <x:v>Soil layer depth to upper boundary of sample (top)</x:v>
      </x:c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</x:row>
    <x:row r="405">
      <x:c r="A405" s="1" t="str">
        <x:v>! Units</x:v>
      </x:c>
      <x:c r="B405" s="1" t="str">
        <x:v>kg/ha</x:v>
      </x:c>
      <x:c r="C405" s="1"/>
      <x:c r="D405" s="1" t="str">
        <x:v>kg/ha</x:v>
      </x:c>
      <x:c r="E405" s="1" t="str">
        <x:v>kg/ha</x:v>
      </x:c>
      <x:c r="F405" s="1" t="str">
        <x:v>kg/ha</x:v>
      </x:c>
      <x:c r="G405" s="1" t="str">
        <x:v>mm</x:v>
      </x:c>
      <x:c r="H405" s="1" t="str">
        <x:v>number</x:v>
      </x:c>
      <x:c r="I405" s="1" t="str">
        <x:v>%</x:v>
      </x:c>
      <x:c r="J405" s="1" t="str">
        <x:v>%</x:v>
      </x:c>
      <x:c r="K405" s="1" t="str">
        <x:v>g/cm3</x:v>
      </x:c>
      <x:c r="L405" s="1" t="str">
        <x:v>text</x:v>
      </x:c>
      <x:c r="M405" s="1" t="str">
        <x:v>cm</x:v>
      </x:c>
      <x:c r="N405" s="1" t="str">
        <x:v>cm</x:v>
      </x:c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</x:row>
    <x:row r="406">
      <x:c r="A406" s="2" t="str">
        <x:v>%</x:v>
      </x:c>
      <x:c r="B406" s="2" t="str">
        <x:v>slpam</x:v>
      </x:c>
      <x:c r="C406" s="2"/>
      <x:c r="D406" s="2" t="str">
        <x:v>NUCM</x:v>
      </x:c>
      <x:c r="E406" s="2" t="str">
        <x:v> NLCM </x:v>
      </x:c>
      <x:c r="F406" s="2" t="str">
        <x:v>niam</x:v>
      </x:c>
      <x:c r="G406" s="2" t="str">
        <x:v>SWXM</x:v>
      </x:c>
      <x:c r="H406" s="2" t="str">
        <x:v>SAPHW</x:v>
      </x:c>
      <x:c r="I406" s="2" t="str">
        <x:v>sani</x:v>
      </x:c>
      <x:c r="J406" s="2" t="str">
        <x:v> SAOC </x:v>
      </x:c>
      <x:c r="K406" s="2" t="str">
        <x:v>SOMDM</x:v>
      </x:c>
      <x:c r="L406" s="2" t="str">
        <x:v>grppls</x:v>
      </x:c>
      <x:c r="M406" s="2" t="str">
        <x:v>SLDLB</x:v>
      </x:c>
      <x:c r="N406" s="2" t="str">
        <x:v>SLDUB</x:v>
      </x:c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</x:row>
    <x:row r="407">
      <x:c r="A407" s="1" t="n">
        <x:v>11</x:v>
      </x:c>
      <x:c r="B407" s="1" t="str">
        <x:v>-99</x:v>
      </x:c>
      <x:c r="C407" s="1"/>
      <x:c r="D407" s="1"/>
      <x:c r="E407" s="1" t="n">
        <x:v>5.8</x:v>
      </x:c>
      <x:c r="F407" s="1" t="n">
        <x:v>24</x:v>
      </x:c>
      <x:c r="G407" s="1" t="n">
        <x:v>57</x:v>
      </x:c>
      <x:c r="H407" s="1"/>
      <x:c r="I407" s="1"/>
      <x:c r="J407" s="1"/>
      <x:c r="K407" s="1"/>
      <x:c r="L407" s="1" t="str">
        <x:v>11</x:v>
      </x:c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</x:row>
    <x:row r="408">
      <x:c r="A408" s="1" t="n">
        <x:v>29</x:v>
      </x:c>
      <x:c r="B408" s="1"/>
      <x:c r="C408" s="1"/>
      <x:c r="D408" s="1" t="n">
        <x:v>96</x:v>
      </x:c>
      <x:c r="E408" s="1"/>
      <x:c r="F408" s="1" t="n">
        <x:v>27</x:v>
      </x:c>
      <x:c r="G408" s="1"/>
      <x:c r="H408" s="1"/>
      <x:c r="I408" s="1"/>
      <x:c r="J408" s="1"/>
      <x:c r="K408" s="1"/>
      <x:c r="L408" s="1" t="str">
        <x:v>29</x:v>
      </x:c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</x:row>
    <x:row r="409">
      <x:c r="A409" s="1" t="n">
        <x:v>47</x:v>
      </x:c>
      <x:c r="B409" s="1" t="n">
        <x:v>39</x:v>
      </x:c>
      <x:c r="C409" s="1"/>
      <x:c r="D409" s="1"/>
      <x:c r="E409" s="1"/>
      <x:c r="F409" s="1" t="n">
        <x:v>30</x:v>
      </x:c>
      <x:c r="G409" s="1" t="n">
        <x:v>53</x:v>
      </x:c>
      <x:c r="H409" s="1"/>
      <x:c r="I409" s="1"/>
      <x:c r="J409" s="1"/>
      <x:c r="K409" s="1"/>
      <x:c r="L409" s="1" t="str">
        <x:v>47</x:v>
      </x:c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</x:row>
    <x:row r="410">
      <x:c r="A410" s="1" t="n">
        <x:v>65</x:v>
      </x:c>
      <x:c r="B410" s="1"/>
      <x:c r="C410" s="1"/>
      <x:c r="D410" s="1"/>
      <x:c r="E410" s="1" t="n">
        <x:v>8.2</x:v>
      </x:c>
      <x:c r="F410" s="1" t="n">
        <x:v>33</x:v>
      </x:c>
      <x:c r="G410" s="1"/>
      <x:c r="H410" s="1"/>
      <x:c r="I410" s="1"/>
      <x:c r="J410" s="1" t="str">
        <x:v>-99.0</x:v>
      </x:c>
      <x:c r="K410" s="1"/>
      <x:c r="L410" s="1" t="str">
        <x:v>65</x:v>
      </x:c>
      <x:c r="M410" s="1"/>
      <x:c r="N410" s="1" t="str">
        <x:v>-99</x:v>
      </x:c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</x:row>
    <x:row r="411">
      <x:c r="A411" s="1" t="n">
        <x:v>17</x:v>
      </x:c>
      <x:c r="B411" s="1"/>
      <x:c r="C411" s="1"/>
      <x:c r="D411" s="1" t="n">
        <x:v>120</x:v>
      </x:c>
      <x:c r="E411" s="1"/>
      <x:c r="F411" s="1" t="n">
        <x:v>36</x:v>
      </x:c>
      <x:c r="G411" s="1" t="n">
        <x:v>49</x:v>
      </x:c>
      <x:c r="H411" s="1"/>
      <x:c r="I411" s="1"/>
      <x:c r="J411" s="1"/>
      <x:c r="K411" s="1"/>
      <x:c r="L411" s="1" t="str">
        <x:v>17</x:v>
      </x:c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</x:row>
    <x:row r="412">
      <x:c r="A412" s="1" t="n">
        <x:v>35</x:v>
      </x:c>
      <x:c r="B412" s="1" t="n">
        <x:v>39</x:v>
      </x:c>
      <x:c r="C412" s="1"/>
      <x:c r="D412" s="1"/>
      <x:c r="E412" s="1"/>
      <x:c r="F412" s="1" t="n">
        <x:v>39</x:v>
      </x:c>
      <x:c r="G412" s="1"/>
      <x:c r="H412" s="1"/>
      <x:c r="I412" s="1"/>
      <x:c r="J412" s="1"/>
      <x:c r="K412" s="1"/>
      <x:c r="L412" s="1" t="str">
        <x:v>35</x:v>
      </x:c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</x:row>
    <x:row r="413">
      <x:c r="A413" s="1" t="n">
        <x:v>53</x:v>
      </x:c>
      <x:c r="B413" s="1"/>
      <x:c r="C413" s="1"/>
      <x:c r="D413" s="1"/>
      <x:c r="E413" s="1" t="n">
        <x:v>5.8</x:v>
      </x:c>
      <x:c r="F413" s="1" t="n">
        <x:v>24</x:v>
      </x:c>
      <x:c r="G413" s="1" t="n">
        <x:v>57</x:v>
      </x:c>
      <x:c r="H413" s="1"/>
      <x:c r="I413" s="1"/>
      <x:c r="J413" s="1" t="str">
        <x:v>-99.0</x:v>
      </x:c>
      <x:c r="K413" s="1" t="str">
        <x:v>-99</x:v>
      </x:c>
      <x:c r="L413" s="1" t="str">
        <x:v>53</x:v>
      </x:c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</x:row>
    <x:row r="414">
      <x:c r="A414" s="1" t="n">
        <x:v>71</x:v>
      </x:c>
      <x:c r="B414" s="1"/>
      <x:c r="C414" s="1"/>
      <x:c r="D414" s="1" t="n">
        <x:v>96</x:v>
      </x:c>
      <x:c r="E414" s="1"/>
      <x:c r="F414" s="1" t="n">
        <x:v>27</x:v>
      </x:c>
      <x:c r="G414" s="1" t="str">
        <x:v>-99</x:v>
      </x:c>
      <x:c r="H414" s="1"/>
      <x:c r="I414" s="1"/>
      <x:c r="J414" s="1"/>
      <x:c r="K414" s="1" t="str">
        <x:v>-99.0</x:v>
      </x:c>
      <x:c r="L414" s="1" t="str">
        <x:v>71</x:v>
      </x:c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</x:row>
    <x:row r="415">
      <x:c r="A415" s="1" t="n">
        <x:v>23</x:v>
      </x:c>
      <x:c r="B415" s="1" t="n">
        <x:v>39</x:v>
      </x:c>
      <x:c r="C415" s="1"/>
      <x:c r="D415" s="1"/>
      <x:c r="E415" s="1"/>
      <x:c r="F415" s="1" t="n">
        <x:v>30</x:v>
      </x:c>
      <x:c r="G415" s="1" t="n">
        <x:v>53</x:v>
      </x:c>
      <x:c r="H415" s="1"/>
      <x:c r="I415" s="1"/>
      <x:c r="J415" s="1" t="str">
        <x:v>-99</x:v>
      </x:c>
      <x:c r="K415" s="1"/>
      <x:c r="L415" s="1" t="str">
        <x:v>23</x:v>
      </x:c>
      <x:c r="M415" s="1" t="str">
        <x:v>-99</x:v>
      </x:c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</x:row>
    <x:row r="416">
      <x:c r="A416" s="1" t="n">
        <x:v>41</x:v>
      </x:c>
      <x:c r="B416" s="1"/>
      <x:c r="C416" s="1"/>
      <x:c r="D416" s="1"/>
      <x:c r="E416" s="1" t="n">
        <x:v>8.2</x:v>
      </x:c>
      <x:c r="F416" s="1" t="n">
        <x:v>33</x:v>
      </x:c>
      <x:c r="G416" s="1"/>
      <x:c r="H416" s="1"/>
      <x:c r="I416" s="1"/>
      <x:c r="J416" s="1"/>
      <x:c r="K416" s="1"/>
      <x:c r="L416" s="1" t="str">
        <x:v>41</x:v>
      </x:c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</x:row>
    <x:row r="417">
      <x:c r="A417" s="1" t="n">
        <x:v>59</x:v>
      </x:c>
      <x:c r="B417" s="1" t="str">
        <x:v>-99.0</x:v>
      </x:c>
      <x:c r="C417" s="1"/>
      <x:c r="D417" s="1" t="n">
        <x:v>120</x:v>
      </x:c>
      <x:c r="E417" s="1"/>
      <x:c r="F417" s="1" t="n">
        <x:v>36</x:v>
      </x:c>
      <x:c r="G417" s="1" t="n">
        <x:v>49</x:v>
      </x:c>
      <x:c r="H417" s="1" t="str">
        <x:v>-99</x:v>
      </x:c>
      <x:c r="I417" s="1"/>
      <x:c r="J417" s="1"/>
      <x:c r="K417" s="1"/>
      <x:c r="L417" s="1" t="str">
        <x:v>59</x:v>
      </x:c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</x:row>
    <x:row r="418">
      <x:c r="A418" s="1" t="n">
        <x:v>77</x:v>
      </x:c>
      <x:c r="B418" s="1" t="n">
        <x:v>39</x:v>
      </x:c>
      <x:c r="C418" s="1"/>
      <x:c r="D418" s="1"/>
      <x:c r="E418" s="1"/>
      <x:c r="F418" s="1" t="n">
        <x:v>39</x:v>
      </x:c>
      <x:c r="G418" s="1"/>
      <x:c r="H418" s="1"/>
      <x:c r="I418" s="1"/>
      <x:c r="J418" s="1"/>
      <x:c r="K418" s="1"/>
      <x:c r="L418" s="1" t="str">
        <x:v>77</x:v>
      </x:c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</x:row>
    <x:row r="419">
      <x:c r="A419" s="1" t="n">
        <x:v>11</x:v>
      </x:c>
      <x:c r="B419" s="1"/>
      <x:c r="C419" s="1"/>
      <x:c r="D419" s="1"/>
      <x:c r="E419" s="1" t="str">
        <x:v>-99.0</x:v>
      </x:c>
      <x:c r="F419" s="1" t="str">
        <x:v>-99.0</x:v>
      </x:c>
      <x:c r="G419" s="1"/>
      <x:c r="H419" s="1" t="n">
        <x:v>6.46</x:v>
      </x:c>
      <x:c r="I419" s="1"/>
      <x:c r="J419" s="1" t="n">
        <x:v>1.55</x:v>
      </x:c>
      <x:c r="K419" s="1" t="n">
        <x:v>1.325</x:v>
      </x:c>
      <x:c r="L419" s="1" t="str">
        <x:v>11;17;23</x:v>
      </x:c>
      <x:c r="M419" s="1" t="n">
        <x:v>20</x:v>
      </x:c>
      <x:c r="N419" s="1" t="n">
        <x:v>0</x:v>
      </x:c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</x:row>
    <x:row r="420">
      <x:c r="A420" s="1" t="n">
        <x:v>11</x:v>
      </x:c>
      <x:c r="B420" s="1"/>
      <x:c r="C420" s="1"/>
      <x:c r="D420" s="1"/>
      <x:c r="E420" s="1" t="str">
        <x:v>-99</x:v>
      </x:c>
      <x:c r="F420" s="1"/>
      <x:c r="G420" s="1" t="str">
        <x:v>-99</x:v>
      </x:c>
      <x:c r="H420" s="1" t="n">
        <x:v>6.36</x:v>
      </x:c>
      <x:c r="I420" s="1"/>
      <x:c r="J420" s="1" t="n">
        <x:v>1.25</x:v>
      </x:c>
      <x:c r="K420" s="1" t="n">
        <x:v>1.365</x:v>
      </x:c>
      <x:c r="L420" s="1" t="str">
        <x:v>11;17;23</x:v>
      </x:c>
      <x:c r="M420" s="1" t="n">
        <x:v>40</x:v>
      </x:c>
      <x:c r="N420" s="1" t="n">
        <x:v>20</x:v>
      </x:c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</x:row>
    <x:row r="421">
      <x:c r="A421" s="1" t="n">
        <x:v>29</x:v>
      </x:c>
      <x:c r="B421" s="1"/>
      <x:c r="C421" s="1"/>
      <x:c r="D421" s="1"/>
      <x:c r="E421" s="1"/>
      <x:c r="F421" s="1"/>
      <x:c r="G421" s="1" t="str">
        <x:v>-99.0</x:v>
      </x:c>
      <x:c r="H421" s="1" t="n">
        <x:v>6.46</x:v>
      </x:c>
      <x:c r="I421" s="1"/>
      <x:c r="J421" s="1" t="n">
        <x:v>1.57</x:v>
      </x:c>
      <x:c r="K421" s="1" t="n">
        <x:v>1.325</x:v>
      </x:c>
      <x:c r="L421" s="1" t="str">
        <x:v>29;35;41</x:v>
      </x:c>
      <x:c r="M421" s="1" t="n">
        <x:v>20</x:v>
      </x:c>
      <x:c r="N421" s="1" t="n">
        <x:v>0</x:v>
      </x:c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</x:row>
    <x:row r="422">
      <x:c r="A422" s="1" t="n">
        <x:v>29</x:v>
      </x:c>
      <x:c r="B422" s="1"/>
      <x:c r="C422" s="1"/>
      <x:c r="D422" s="1"/>
      <x:c r="E422" s="1"/>
      <x:c r="F422" s="1"/>
      <x:c r="G422" s="1"/>
      <x:c r="H422" s="1" t="n">
        <x:v>6.36</x:v>
      </x:c>
      <x:c r="I422" s="1"/>
      <x:c r="J422" s="1" t="n">
        <x:v>1.27</x:v>
      </x:c>
      <x:c r="K422" s="1" t="n">
        <x:v>1.365</x:v>
      </x:c>
      <x:c r="L422" s="1" t="str">
        <x:v>29;35;41</x:v>
      </x:c>
      <x:c r="M422" s="1" t="n">
        <x:v>40</x:v>
      </x:c>
      <x:c r="N422" s="1" t="n">
        <x:v>20</x:v>
      </x:c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</x:row>
    <x:row r="423">
      <x:c r="A423" s="1" t="n">
        <x:v>47</x:v>
      </x:c>
      <x:c r="B423" s="1"/>
      <x:c r="C423" s="1"/>
      <x:c r="D423" s="1"/>
      <x:c r="E423" s="1"/>
      <x:c r="F423" s="1"/>
      <x:c r="G423" s="1"/>
      <x:c r="H423" s="1" t="n">
        <x:v>6.46</x:v>
      </x:c>
      <x:c r="I423" s="1"/>
      <x:c r="J423" s="1" t="n">
        <x:v>1.59</x:v>
      </x:c>
      <x:c r="K423" s="1" t="n">
        <x:v>1.325</x:v>
      </x:c>
      <x:c r="L423" s="1" t="str">
        <x:v>47;53;59</x:v>
      </x:c>
      <x:c r="M423" s="1" t="n">
        <x:v>20</x:v>
      </x:c>
      <x:c r="N423" s="1" t="n">
        <x:v>0</x:v>
      </x:c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</x:row>
    <x:row r="424">
      <x:c r="A424" s="1" t="n">
        <x:v>47</x:v>
      </x:c>
      <x:c r="B424" s="1" t="str">
        <x:v>-99.0</x:v>
      </x:c>
      <x:c r="C424" s="1"/>
      <x:c r="D424" s="1"/>
      <x:c r="E424" s="1" t="str">
        <x:v>-99.0</x:v>
      </x:c>
      <x:c r="F424" s="1"/>
      <x:c r="G424" s="1"/>
      <x:c r="H424" s="1" t="n">
        <x:v>6.36</x:v>
      </x:c>
      <x:c r="I424" s="1"/>
      <x:c r="J424" s="1" t="n">
        <x:v>1.29</x:v>
      </x:c>
      <x:c r="K424" s="1" t="n">
        <x:v>1.365</x:v>
      </x:c>
      <x:c r="L424" s="1" t="str">
        <x:v>47;53;59</x:v>
      </x:c>
      <x:c r="M424" s="1" t="n">
        <x:v>40</x:v>
      </x:c>
      <x:c r="N424" s="1" t="n">
        <x:v>20</x:v>
      </x:c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</x:row>
    <x:row r="425">
      <x:c r="A425" s="1" t="n">
        <x:v>65</x:v>
      </x:c>
      <x:c r="B425" s="1"/>
      <x:c r="C425" s="1"/>
      <x:c r="D425" s="1"/>
      <x:c r="E425" s="1"/>
      <x:c r="F425" s="1"/>
      <x:c r="G425" s="1"/>
      <x:c r="H425" s="1" t="n">
        <x:v>6.46</x:v>
      </x:c>
      <x:c r="I425" s="1"/>
      <x:c r="J425" s="1" t="n">
        <x:v>1.61</x:v>
      </x:c>
      <x:c r="K425" s="1" t="n">
        <x:v>1.325</x:v>
      </x:c>
      <x:c r="L425" s="1" t="str">
        <x:v>65;71;77</x:v>
      </x:c>
      <x:c r="M425" s="1" t="n">
        <x:v>20</x:v>
      </x:c>
      <x:c r="N425" s="1" t="n">
        <x:v>0</x:v>
      </x:c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</x:row>
    <x:row r="426">
      <x:c r="A426" s="1" t="n">
        <x:v>65</x:v>
      </x:c>
      <x:c r="B426" s="1"/>
      <x:c r="C426" s="1"/>
      <x:c r="D426" s="1"/>
      <x:c r="E426" s="1"/>
      <x:c r="F426" s="1"/>
      <x:c r="G426" s="1"/>
      <x:c r="H426" s="1" t="n">
        <x:v>6.36</x:v>
      </x:c>
      <x:c r="I426" s="1"/>
      <x:c r="J426" s="1" t="n">
        <x:v>1.31</x:v>
      </x:c>
      <x:c r="K426" s="1" t="n">
        <x:v>1.365</x:v>
      </x:c>
      <x:c r="L426" s="1" t="str">
        <x:v>65;71;77</x:v>
      </x:c>
      <x:c r="M426" s="1" t="n">
        <x:v>40</x:v>
      </x:c>
      <x:c r="N426" s="1" t="n">
        <x:v>20</x:v>
      </x:c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</x:row>
    <x:row r="428">
      <x:c r="A428" s="1" t="str">
        <x:v>! Section</x:v>
      </x:c>
      <x:c r="B428" s="1" t="str">
        <x:v>Soil_layer_observations_timeseries</x:v>
      </x:c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</x:row>
    <x:row r="429">
      <x:c r="A429" s="1" t="str">
        <x:v>! Definitions</x:v>
      </x:c>
      <x:c r="B429" s="1" t="str">
        <x:v>Date of measurement; use YYYY-MM-DD.</x:v>
      </x:c>
      <x:c r="C429" s="1"/>
      <x:c r="D429" s="1" t="str">
        <x:v>Soil layer depth to upper boundary of sample (top)</x:v>
      </x:c>
      <x:c r="E429" s="1" t="str">
        <x:v>Soil layer depth to lower boundary of sample (bottom)</x:v>
      </x:c>
      <x:c r="F429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G429" s="1" t="str">
        <x:v>Phosphorus, extractable</x:v>
      </x:c>
      <x:c r="H429" s="1" t="str">
        <x:v>Soil water measured at a specified depth</x:v>
      </x:c>
      <x:c r="I429" s="1" t="str">
        <x:v>Root length_density (ratio of length to soil volume) in a soil layer</x:v>
      </x:c>
      <x:c r="J429" s="1" t="str">
        <x:v>NO3[N], for a given soil layer</x:v>
      </x:c>
      <x:c r="K429" s="1" t="str">
        <x:v>NH4[N], for a given soil layer</x:v>
      </x:c>
      <x:c r="L429" s="1" t="str">
        <x:v>Soil temperature of given soil layer</x:v>
      </x:c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</x:row>
    <x:row r="430">
      <x:c r="A430" s="1" t="str">
        <x:v>! Units</x:v>
      </x:c>
      <x:c r="B430" s="1" t="str">
        <x:v>date</x:v>
      </x:c>
      <x:c r="C430" s="1"/>
      <x:c r="D430" s="1" t="str">
        <x:v>cm</x:v>
      </x:c>
      <x:c r="E430" s="1" t="str">
        <x:v>cm</x:v>
      </x:c>
      <x:c r="F430" s="1" t="str">
        <x:v>text</x:v>
      </x:c>
      <x:c r="G430" s="1" t="str">
        <x:v>mg/kg</x:v>
      </x:c>
      <x:c r="H430" s="1" t="str">
        <x:v>cm3/cm3</x:v>
      </x:c>
      <x:c r="I430" s="1" t="str">
        <x:v>cm/cm3</x:v>
      </x:c>
      <x:c r="J430" s="1" t="str">
        <x:v>g/Mg</x:v>
      </x:c>
      <x:c r="K430" s="1" t="str">
        <x:v>g/Mg</x:v>
      </x:c>
      <x:c r="L430" s="1" t="str">
        <x:v>degree_C</x:v>
      </x:c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</x:row>
    <x:row r="431">
      <x:c r="A431" s="2" t="str">
        <x:v>%</x:v>
      </x:c>
      <x:c r="B431" s="2" t="str">
        <x:v>DATE</x:v>
      </x:c>
      <x:c r="C431" s="2"/>
      <x:c r="D431" s="2" t="str">
        <x:v>SLDUB</x:v>
      </x:c>
      <x:c r="E431" s="2" t="str">
        <x:v>sldlb</x:v>
      </x:c>
      <x:c r="F431" s="2" t="str">
        <x:v>GRPPLS</x:v>
      </x:c>
      <x:c r="G431" s="2" t="str">
        <x:v> SLPX </x:v>
      </x:c>
      <x:c r="H431" s="2" t="str">
        <x:v>swld</x:v>
      </x:c>
      <x:c r="I431" s="2" t="str">
        <x:v>RLDLD</x:v>
      </x:c>
      <x:c r="J431" s="2" t="str">
        <x:v>NOSLD</x:v>
      </x:c>
      <x:c r="K431" s="2" t="str">
        <x:v>nhsld</x:v>
      </x:c>
      <x:c r="L431" s="2" t="str">
        <x:v> TMPSLD </x:v>
      </x:c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</x:row>
    <x:row r="432">
      <x:c r="A432" s="1" t="n">
        <x:v>11</x:v>
      </x:c>
      <x:c r="B432" s="3" t="d">
        <x:v>2023-04-03T00:00:00.000Z</x:v>
      </x:c>
      <x:c r="C432" s="1"/>
      <x:c r="D432" s="1" t="n">
        <x:v>0</x:v>
      </x:c>
      <x:c r="E432" s="1" t="n">
        <x:v>20</x:v>
      </x:c>
      <x:c r="F432" s="1" t="str">
        <x:v>11</x:v>
      </x:c>
      <x:c r="G432" s="1" t="n">
        <x:v>20.8</x:v>
      </x:c>
      <x:c r="H432" s="1" t="n">
        <x:v>0.217</x:v>
      </x:c>
      <x:c r="I432" s="1" t="str">
        <x:v>-99.0</x:v>
      </x:c>
      <x:c r="J432" s="1" t="n">
        <x:v>5.6</x:v>
      </x:c>
      <x:c r="K432" s="1" t="n">
        <x:v>1.44</x:v>
      </x:c>
      <x:c r="L432" s="1" t="n">
        <x:v>18.73</x:v>
      </x:c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</x:row>
    <x:row r="433">
      <x:c r="A433" s="1" t="n">
        <x:v>11</x:v>
      </x:c>
      <x:c r="B433" s="1" t="str">
        <x:v> 2023-04-03</x:v>
      </x:c>
      <x:c r="C433" s="1"/>
      <x:c r="D433" s="1" t="n">
        <x:v>20</x:v>
      </x:c>
      <x:c r="E433" s="1" t="n">
        <x:v>40</x:v>
      </x:c>
      <x:c r="F433" s="1" t="str">
        <x:v>11</x:v>
      </x:c>
      <x:c r="G433" s="1" t="n">
        <x:v>18.8</x:v>
      </x:c>
      <x:c r="H433" s="1" t="n">
        <x:v>0.227</x:v>
      </x:c>
      <x:c r="I433" s="1"/>
      <x:c r="J433" s="1" t="n">
        <x:v>5.1</x:v>
      </x:c>
      <x:c r="K433" s="1" t="n">
        <x:v>1.28</x:v>
      </x:c>
      <x:c r="L433" s="1" t="n">
        <x:v>18.13</x:v>
      </x:c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</x:row>
    <x:row r="434">
      <x:c r="A434" s="1" t="n">
        <x:v>11</x:v>
      </x:c>
      <x:c r="B434" s="1" t="str">
        <x:v>2023-5-9</x:v>
      </x:c>
      <x:c r="C434" s="1"/>
      <x:c r="D434" s="1" t="n">
        <x:v>0</x:v>
      </x:c>
      <x:c r="E434" s="1" t="n">
        <x:v>20</x:v>
      </x:c>
      <x:c r="F434" s="1" t="str">
        <x:v>11</x:v>
      </x:c>
      <x:c r="G434" s="1" t="n">
        <x:v>20.5</x:v>
      </x:c>
      <x:c r="H434" s="1" t="n">
        <x:v>0.219</x:v>
      </x:c>
      <x:c r="I434" s="1"/>
      <x:c r="J434" s="1" t="n">
        <x:v>4.7</x:v>
      </x:c>
      <x:c r="K434" s="1" t="n">
        <x:v>1.35</x:v>
      </x:c>
      <x:c r="L434" s="1" t="n">
        <x:v>21.2</x:v>
      </x:c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</x:row>
    <x:row r="435">
      <x:c r="A435" s="1" t="n">
        <x:v>11</x:v>
      </x:c>
      <x:c r="B435" s="1" t="str">
        <x:v>23129</x:v>
      </x:c>
      <x:c r="C435" s="1"/>
      <x:c r="D435" s="1" t="n">
        <x:v>20</x:v>
      </x:c>
      <x:c r="E435" s="1" t="n">
        <x:v>40</x:v>
      </x:c>
      <x:c r="F435" s="1" t="str">
        <x:v>11</x:v>
      </x:c>
      <x:c r="G435" s="1" t="n">
        <x:v>18.5</x:v>
      </x:c>
      <x:c r="H435" s="1" t="n">
        <x:v>0.229</x:v>
      </x:c>
      <x:c r="I435" s="1"/>
      <x:c r="J435" s="1" t="n">
        <x:v>4.2</x:v>
      </x:c>
      <x:c r="K435" s="1" t="n">
        <x:v>1.19</x:v>
      </x:c>
      <x:c r="L435" s="1" t="n">
        <x:v>20.6</x:v>
      </x:c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</x:row>
    <x:row r="436">
      <x:c r="A436" s="1" t="n">
        <x:v>11</x:v>
      </x:c>
      <x:c r="B436" s="3" t="d">
        <x:v>2023-06-20T00:00:00.000Z</x:v>
      </x:c>
      <x:c r="C436" s="1"/>
      <x:c r="D436" s="1" t="n">
        <x:v>0</x:v>
      </x:c>
      <x:c r="E436" s="1" t="n">
        <x:v>20</x:v>
      </x:c>
      <x:c r="F436" s="1" t="str">
        <x:v>11</x:v>
      </x:c>
      <x:c r="G436" s="1" t="n">
        <x:v>20.15</x:v>
      </x:c>
      <x:c r="H436" s="1" t="n">
        <x:v>0.19</x:v>
      </x:c>
      <x:c r="I436" s="1"/>
      <x:c r="J436" s="1" t="n">
        <x:v>3.65</x:v>
      </x:c>
      <x:c r="K436" s="1" t="n">
        <x:v>1.25</x:v>
      </x:c>
      <x:c r="L436" s="1" t="n">
        <x:v>17.92</x:v>
      </x:c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</x:row>
    <x:row r="437">
      <x:c r="A437" s="1" t="n">
        <x:v>11</x:v>
      </x:c>
      <x:c r="B437" s="1" t="str">
        <x:v> 2023-06-20</x:v>
      </x:c>
      <x:c r="C437" s="1"/>
      <x:c r="D437" s="1" t="n">
        <x:v>20</x:v>
      </x:c>
      <x:c r="E437" s="1" t="n">
        <x:v>40</x:v>
      </x:c>
      <x:c r="F437" s="1" t="str">
        <x:v>11</x:v>
      </x:c>
      <x:c r="G437" s="1" t="n">
        <x:v>18.15</x:v>
      </x:c>
      <x:c r="H437" s="1" t="n">
        <x:v>0.2</x:v>
      </x:c>
      <x:c r="I437" s="1"/>
      <x:c r="J437" s="1" t="n">
        <x:v>3.15</x:v>
      </x:c>
      <x:c r="K437" s="1" t="n">
        <x:v>1.09</x:v>
      </x:c>
      <x:c r="L437" s="1" t="n">
        <x:v>17.32</x:v>
      </x:c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</x:row>
    <x:row r="438">
      <x:c r="A438" s="1" t="n">
        <x:v>29</x:v>
      </x:c>
      <x:c r="B438" s="1" t="str">
        <x:v>2024-5-16</x:v>
      </x:c>
      <x:c r="C438" s="1"/>
      <x:c r="D438" s="1" t="n">
        <x:v>0</x:v>
      </x:c>
      <x:c r="E438" s="1" t="n">
        <x:v>20</x:v>
      </x:c>
      <x:c r="F438" s="1" t="str">
        <x:v>29</x:v>
      </x:c>
      <x:c r="G438" s="1"/>
      <x:c r="H438" s="1" t="n">
        <x:v>0.22</x:v>
      </x:c>
      <x:c r="I438" s="1" t="n">
        <x:v>0.553</x:v>
      </x:c>
      <x:c r="J438" s="1"/>
      <x:c r="K438" s="1" t="str">
        <x:v>-99.0</x:v>
      </x:c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</x:row>
    <x:row r="439">
      <x:c r="A439" s="1" t="n">
        <x:v>29</x:v>
      </x:c>
      <x:c r="B439" s="1" t="str">
        <x:v>24137</x:v>
      </x:c>
      <x:c r="C439" s="1"/>
      <x:c r="D439" s="1" t="n">
        <x:v>20</x:v>
      </x:c>
      <x:c r="E439" s="1" t="n">
        <x:v>40</x:v>
      </x:c>
      <x:c r="F439" s="1" t="str">
        <x:v>29</x:v>
      </x:c>
      <x:c r="G439" s="1"/>
      <x:c r="H439" s="1" t="n">
        <x:v>0.23</x:v>
      </x:c>
      <x:c r="I439" s="1" t="n">
        <x:v>0.332</x:v>
      </x:c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</x:row>
    <x:row r="440">
      <x:c r="A440" s="1" t="n">
        <x:v>29</x:v>
      </x:c>
      <x:c r="B440" s="3" t="d">
        <x:v>2024-06-24T00:00:00.000Z</x:v>
      </x:c>
      <x:c r="C440" s="1"/>
      <x:c r="D440" s="1" t="n">
        <x:v>0</x:v>
      </x:c>
      <x:c r="E440" s="1" t="n">
        <x:v>20</x:v>
      </x:c>
      <x:c r="F440" s="1" t="str">
        <x:v>29</x:v>
      </x:c>
      <x:c r="G440" s="1"/>
      <x:c r="H440" s="1" t="n">
        <x:v>0.222</x:v>
      </x:c>
      <x:c r="I440" s="1" t="n">
        <x:v>0.94</x:v>
      </x:c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</x:row>
    <x:row r="441">
      <x:c r="A441" s="1" t="n">
        <x:v>29</x:v>
      </x:c>
      <x:c r="B441" s="1" t="str">
        <x:v> 2024-06-24</x:v>
      </x:c>
      <x:c r="C441" s="1"/>
      <x:c r="D441" s="1" t="n">
        <x:v>20</x:v>
      </x:c>
      <x:c r="E441" s="1" t="n">
        <x:v>40</x:v>
      </x:c>
      <x:c r="F441" s="1" t="str">
        <x:v>29</x:v>
      </x:c>
      <x:c r="G441" s="1"/>
      <x:c r="H441" s="1" t="n">
        <x:v>0.232</x:v>
      </x:c>
      <x:c r="I441" s="1" t="n">
        <x:v>0.564</x:v>
      </x:c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</x:row>
    <x:row r="442">
      <x:c r="A442" s="1" t="n">
        <x:v>29</x:v>
      </x:c>
      <x:c r="B442" s="1" t="str">
        <x:v>2024-8-8</x:v>
      </x:c>
      <x:c r="C442" s="1"/>
      <x:c r="D442" s="1" t="n">
        <x:v>0</x:v>
      </x:c>
      <x:c r="E442" s="1" t="n">
        <x:v>20</x:v>
      </x:c>
      <x:c r="F442" s="1" t="str">
        <x:v>29</x:v>
      </x:c>
      <x:c r="G442" s="1"/>
      <x:c r="H442" s="1" t="n">
        <x:v>0.193</x:v>
      </x:c>
      <x:c r="I442" s="1" t="n">
        <x:v>0.427</x:v>
      </x:c>
      <x:c r="J442" s="1" t="str">
        <x:v>-99</x:v>
      </x:c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</x:row>
    <x:row r="443">
      <x:c r="A443" s="1" t="n">
        <x:v>29</x:v>
      </x:c>
      <x:c r="B443" s="1" t="str">
        <x:v>24221</x:v>
      </x:c>
      <x:c r="C443" s="1"/>
      <x:c r="D443" s="1" t="n">
        <x:v>20</x:v>
      </x:c>
      <x:c r="E443" s="1" t="n">
        <x:v>40</x:v>
      </x:c>
      <x:c r="F443" s="1" t="str">
        <x:v>29</x:v>
      </x:c>
      <x:c r="G443" s="1"/>
      <x:c r="H443" s="1" t="n">
        <x:v>0.203</x:v>
      </x:c>
      <x:c r="I443" s="1" t="n">
        <x:v>0.256</x:v>
      </x:c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</x:row>
    <x:row r="444">
      <x:c r="A444" s="1" t="n">
        <x:v>47</x:v>
      </x:c>
      <x:c r="B444" s="3" t="d">
        <x:v>2025-06-03T00:00:00.000Z</x:v>
      </x:c>
      <x:c r="C444" s="1"/>
      <x:c r="D444" s="1" t="n">
        <x:v>0</x:v>
      </x:c>
      <x:c r="E444" s="1" t="n">
        <x:v>20</x:v>
      </x:c>
      <x:c r="F444" s="1" t="str">
        <x:v>47</x:v>
      </x:c>
      <x:c r="G444" s="1" t="str">
        <x:v>-99</x:v>
      </x:c>
      <x:c r="H444" s="1" t="n">
        <x:v>0.223</x:v>
      </x:c>
      <x:c r="I444" s="1"/>
      <x:c r="J444" s="1" t="n">
        <x:v>7</x:v>
      </x:c>
      <x:c r="K444" s="1"/>
      <x:c r="L444" s="1" t="n">
        <x:v>1.44</x:v>
      </x:c>
      <x:c r="M444" s="1" t="n">
        <x:v>18.73</x:v>
      </x:c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</x:row>
    <x:row r="445">
      <x:c r="A445" s="1" t="n">
        <x:v>47</x:v>
      </x:c>
      <x:c r="B445" s="1" t="str">
        <x:v> 2025-06-03</x:v>
      </x:c>
      <x:c r="C445" s="1"/>
      <x:c r="D445" s="1" t="n">
        <x:v>20</x:v>
      </x:c>
      <x:c r="E445" s="1" t="n">
        <x:v>40</x:v>
      </x:c>
      <x:c r="F445" s="1" t="str">
        <x:v>47</x:v>
      </x:c>
      <x:c r="G445" s="1"/>
      <x:c r="H445" s="1" t="n">
        <x:v>0.233</x:v>
      </x:c>
      <x:c r="I445" s="1" t="str">
        <x:v>-99</x:v>
      </x:c>
      <x:c r="J445" s="1" t="n">
        <x:v>6.5</x:v>
      </x:c>
      <x:c r="K445" s="1" t="n">
        <x:v>1.28</x:v>
      </x:c>
      <x:c r="L445" s="1" t="n">
        <x:v>18.13</x:v>
      </x:c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</x:row>
    <x:row r="446">
      <x:c r="A446" s="1" t="n">
        <x:v>47</x:v>
      </x:c>
      <x:c r="B446" s="1" t="str">
        <x:v>2025-7-6</x:v>
      </x:c>
      <x:c r="C446" s="1"/>
      <x:c r="D446" s="1" t="n">
        <x:v>0</x:v>
      </x:c>
      <x:c r="E446" s="1" t="n">
        <x:v>20</x:v>
      </x:c>
      <x:c r="F446" s="1" t="str">
        <x:v>47</x:v>
      </x:c>
      <x:c r="G446" s="1"/>
      <x:c r="H446" s="1" t="n">
        <x:v>0.225</x:v>
      </x:c>
      <x:c r="I446" s="1"/>
      <x:c r="J446" s="1" t="n">
        <x:v>6.1</x:v>
      </x:c>
      <x:c r="K446" s="1" t="n">
        <x:v>1.35</x:v>
      </x:c>
      <x:c r="L446" s="1" t="n">
        <x:v>21.2</x:v>
      </x:c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</x:row>
    <x:row r="447">
      <x:c r="A447" s="1" t="n">
        <x:v>47</x:v>
      </x:c>
      <x:c r="B447" s="1" t="str">
        <x:v>25187</x:v>
      </x:c>
      <x:c r="C447" s="1"/>
      <x:c r="D447" s="1" t="n">
        <x:v>20</x:v>
      </x:c>
      <x:c r="E447" s="1" t="n">
        <x:v>40</x:v>
      </x:c>
      <x:c r="F447" s="1" t="str">
        <x:v>47</x:v>
      </x:c>
      <x:c r="G447" s="1"/>
      <x:c r="H447" s="1" t="n">
        <x:v>0.235</x:v>
      </x:c>
      <x:c r="I447" s="1"/>
      <x:c r="J447" s="1" t="n">
        <x:v>5.6</x:v>
      </x:c>
      <x:c r="K447" s="1" t="n">
        <x:v>1.19</x:v>
      </x:c>
      <x:c r="L447" s="1" t="n">
        <x:v>20.6</x:v>
      </x:c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</x:row>
    <x:row r="448">
      <x:c r="A448" s="1" t="n">
        <x:v>47</x:v>
      </x:c>
      <x:c r="B448" s="3" t="d">
        <x:v>2025-08-14T00:00:00.000Z</x:v>
      </x:c>
      <x:c r="C448" s="1"/>
      <x:c r="D448" s="1" t="n">
        <x:v>0</x:v>
      </x:c>
      <x:c r="E448" s="1" t="n">
        <x:v>20</x:v>
      </x:c>
      <x:c r="F448" s="1" t="str">
        <x:v>47</x:v>
      </x:c>
      <x:c r="G448" s="1"/>
      <x:c r="H448" s="1" t="n">
        <x:v>0.196</x:v>
      </x:c>
      <x:c r="I448" s="1"/>
      <x:c r="J448" s="1" t="n">
        <x:v>5.05</x:v>
      </x:c>
      <x:c r="K448" s="1" t="n">
        <x:v>1.25</x:v>
      </x:c>
      <x:c r="L448" s="1" t="n">
        <x:v>17.92</x:v>
      </x:c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</x:row>
    <x:row r="449">
      <x:c r="A449" s="1" t="n">
        <x:v>47</x:v>
      </x:c>
      <x:c r="B449" s="1" t="str">
        <x:v> 2025-08-14</x:v>
      </x:c>
      <x:c r="C449" s="1"/>
      <x:c r="D449" s="1" t="n">
        <x:v>20</x:v>
      </x:c>
      <x:c r="E449" s="1" t="n">
        <x:v>40</x:v>
      </x:c>
      <x:c r="F449" s="1" t="str">
        <x:v>47</x:v>
      </x:c>
      <x:c r="G449" s="1"/>
      <x:c r="H449" s="1" t="n">
        <x:v>0.206</x:v>
      </x:c>
      <x:c r="I449" s="1"/>
      <x:c r="J449" s="1" t="n">
        <x:v>4.55</x:v>
      </x:c>
      <x:c r="K449" s="1" t="n">
        <x:v>1.09</x:v>
      </x:c>
      <x:c r="L449" s="1" t="n">
        <x:v>17.32</x:v>
      </x:c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</x:row>
    <x:row r="450">
      <x:c r="A450" s="1" t="n">
        <x:v>65</x:v>
      </x:c>
      <x:c r="B450" s="1" t="str">
        <x:v>2026-4-12</x:v>
      </x:c>
      <x:c r="C450" s="1"/>
      <x:c r="D450" s="1" t="n">
        <x:v>0</x:v>
      </x:c>
      <x:c r="E450" s="1" t="n">
        <x:v>20</x:v>
      </x:c>
      <x:c r="F450" s="1" t="str">
        <x:v>65</x:v>
      </x:c>
      <x:c r="G450" s="1"/>
      <x:c r="H450" s="1" t="n">
        <x:v>0.217</x:v>
      </x:c>
      <x:c r="I450" s="1"/>
      <x:c r="J450" s="1" t="n">
        <x:v>7.7</x:v>
      </x:c>
      <x:c r="K450" s="1" t="n">
        <x:v>1.44</x:v>
      </x:c>
      <x:c r="L450" s="1" t="str">
        <x:v>-99</x:v>
      </x:c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</x:row>
    <x:row r="451">
      <x:c r="A451" s="1" t="n">
        <x:v>65</x:v>
      </x:c>
      <x:c r="B451" s="1" t="str">
        <x:v>26102</x:v>
      </x:c>
      <x:c r="C451" s="1"/>
      <x:c r="D451" s="1" t="n">
        <x:v>20</x:v>
      </x:c>
      <x:c r="E451" s="1" t="n">
        <x:v>40</x:v>
      </x:c>
      <x:c r="F451" s="1" t="str">
        <x:v>65</x:v>
      </x:c>
      <x:c r="G451" s="1"/>
      <x:c r="H451" s="1" t="n">
        <x:v>0.227</x:v>
      </x:c>
      <x:c r="I451" s="1"/>
      <x:c r="J451" s="1" t="n">
        <x:v>7.2</x:v>
      </x:c>
      <x:c r="K451" s="1" t="n">
        <x:v>1.28</x:v>
      </x:c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</x:row>
    <x:row r="452">
      <x:c r="A452" s="1" t="n">
        <x:v>65</x:v>
      </x:c>
      <x:c r="B452" s="3" t="d">
        <x:v>2026-05-19T00:00:00.000Z</x:v>
      </x:c>
      <x:c r="C452" s="1"/>
      <x:c r="D452" s="1" t="n">
        <x:v>0</x:v>
      </x:c>
      <x:c r="E452" s="1" t="n">
        <x:v>20</x:v>
      </x:c>
      <x:c r="F452" s="1" t="str">
        <x:v>65</x:v>
      </x:c>
      <x:c r="G452" s="1"/>
      <x:c r="H452" s="1" t="n">
        <x:v>0.219</x:v>
      </x:c>
      <x:c r="I452" s="1"/>
      <x:c r="J452" s="1" t="n">
        <x:v>6.8</x:v>
      </x:c>
      <x:c r="K452" s="1" t="n">
        <x:v>1.35</x:v>
      </x:c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</x:row>
    <x:row r="453">
      <x:c r="A453" s="1" t="n">
        <x:v>65</x:v>
      </x:c>
      <x:c r="B453" s="1" t="str">
        <x:v> 2026-05-19</x:v>
      </x:c>
      <x:c r="C453" s="1"/>
      <x:c r="D453" s="1" t="n">
        <x:v>20</x:v>
      </x:c>
      <x:c r="E453" s="1" t="n">
        <x:v>40</x:v>
      </x:c>
      <x:c r="F453" s="1" t="str">
        <x:v>65</x:v>
      </x:c>
      <x:c r="G453" s="1"/>
      <x:c r="H453" s="1" t="n">
        <x:v>0.229</x:v>
      </x:c>
      <x:c r="I453" s="1"/>
      <x:c r="J453" s="1" t="n">
        <x:v>6.3</x:v>
      </x:c>
      <x:c r="K453" s="1" t="n">
        <x:v>1.19</x:v>
      </x:c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</x:row>
    <x:row r="454">
      <x:c r="A454" s="1" t="n">
        <x:v>65</x:v>
      </x:c>
      <x:c r="B454" s="1" t="str">
        <x:v>2026-7-2</x:v>
      </x:c>
      <x:c r="C454" s="1"/>
      <x:c r="D454" s="1" t="n">
        <x:v>0</x:v>
      </x:c>
      <x:c r="E454" s="1" t="n">
        <x:v>20</x:v>
      </x:c>
      <x:c r="F454" s="1" t="str">
        <x:v>65</x:v>
      </x:c>
      <x:c r="G454" s="1"/>
      <x:c r="H454" s="1" t="n">
        <x:v>0.19</x:v>
      </x:c>
      <x:c r="I454" s="1"/>
      <x:c r="J454" s="1" t="n">
        <x:v>5.75</x:v>
      </x:c>
      <x:c r="K454" s="1" t="n">
        <x:v>1.25</x:v>
      </x:c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</x:row>
    <x:row r="455">
      <x:c r="A455" s="1" t="n">
        <x:v>65</x:v>
      </x:c>
      <x:c r="B455" s="1" t="str">
        <x:v>26183</x:v>
      </x:c>
      <x:c r="C455" s="1"/>
      <x:c r="D455" s="1" t="n">
        <x:v>20</x:v>
      </x:c>
      <x:c r="E455" s="1" t="n">
        <x:v>40</x:v>
      </x:c>
      <x:c r="F455" s="1" t="str">
        <x:v>65</x:v>
      </x:c>
      <x:c r="G455" s="1"/>
      <x:c r="H455" s="1" t="n">
        <x:v>0.2</x:v>
      </x:c>
      <x:c r="I455" s="1" t="str">
        <x:v>-99.0</x:v>
      </x:c>
      <x:c r="J455" s="1" t="n">
        <x:v>5.25</x:v>
      </x:c>
      <x:c r="K455" s="1" t="n">
        <x:v>1.09</x:v>
      </x:c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</x:row>
    <x:row r="456">
      <x:c r="A456" s="1" t="n">
        <x:v>17</x:v>
      </x:c>
      <x:c r="B456" s="3" t="d">
        <x:v>2023-04-03T00:00:00.000Z</x:v>
      </x:c>
      <x:c r="C456" s="1"/>
      <x:c r="D456" s="1" t="n">
        <x:v>0</x:v>
      </x:c>
      <x:c r="E456" s="1" t="n">
        <x:v>20</x:v>
      </x:c>
      <x:c r="F456" s="1" t="str">
        <x:v>17</x:v>
      </x:c>
      <x:c r="G456" s="1" t="n">
        <x:v>20.8</x:v>
      </x:c>
      <x:c r="H456" s="1" t="n">
        <x:v>0.22</x:v>
      </x:c>
      <x:c r="I456" s="1" t="n">
        <x:v>0.553</x:v>
      </x:c>
      <x:c r="J456" s="1"/>
      <x:c r="K456" s="1"/>
      <x:c r="L456" s="1" t="n">
        <x:v>18.73</x:v>
      </x:c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</x:row>
    <x:row r="457">
      <x:c r="A457" s="1" t="n">
        <x:v>17</x:v>
      </x:c>
      <x:c r="B457" s="1" t="str">
        <x:v> 2023-04-03</x:v>
      </x:c>
      <x:c r="C457" s="1"/>
      <x:c r="D457" s="1" t="n">
        <x:v>20</x:v>
      </x:c>
      <x:c r="E457" s="1" t="n">
        <x:v>40</x:v>
      </x:c>
      <x:c r="F457" s="1" t="str">
        <x:v>17</x:v>
      </x:c>
      <x:c r="G457" s="1" t="n">
        <x:v>18.8</x:v>
      </x:c>
      <x:c r="H457" s="1" t="n">
        <x:v>0.23</x:v>
      </x:c>
      <x:c r="I457" s="1" t="n">
        <x:v>0.332</x:v>
      </x:c>
      <x:c r="J457" s="1"/>
      <x:c r="K457" s="1"/>
      <x:c r="L457" s="1" t="n">
        <x:v>18.13</x:v>
      </x:c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</x:row>
    <x:row r="458">
      <x:c r="A458" s="1" t="n">
        <x:v>17</x:v>
      </x:c>
      <x:c r="B458" s="1" t="str">
        <x:v>2023-5-9</x:v>
      </x:c>
      <x:c r="C458" s="1"/>
      <x:c r="D458" s="1" t="n">
        <x:v>0</x:v>
      </x:c>
      <x:c r="E458" s="1" t="n">
        <x:v>20</x:v>
      </x:c>
      <x:c r="F458" s="1" t="str">
        <x:v>17</x:v>
      </x:c>
      <x:c r="G458" s="1" t="n">
        <x:v>20.5</x:v>
      </x:c>
      <x:c r="H458" s="1" t="n">
        <x:v>0.222</x:v>
      </x:c>
      <x:c r="I458" s="1" t="n">
        <x:v>0.94</x:v>
      </x:c>
      <x:c r="J458" s="1"/>
      <x:c r="K458" s="1"/>
      <x:c r="L458" s="1" t="n">
        <x:v>21.2</x:v>
      </x:c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</x:row>
    <x:row r="459">
      <x:c r="A459" s="1" t="n">
        <x:v>17</x:v>
      </x:c>
      <x:c r="B459" s="1" t="str">
        <x:v>23129</x:v>
      </x:c>
      <x:c r="C459" s="1"/>
      <x:c r="D459" s="1" t="n">
        <x:v>20</x:v>
      </x:c>
      <x:c r="E459" s="1" t="n">
        <x:v>40</x:v>
      </x:c>
      <x:c r="F459" s="1" t="str">
        <x:v>17</x:v>
      </x:c>
      <x:c r="G459" s="1" t="n">
        <x:v>18.5</x:v>
      </x:c>
      <x:c r="H459" s="1" t="n">
        <x:v>0.232</x:v>
      </x:c>
      <x:c r="I459" s="1" t="n">
        <x:v>0.564</x:v>
      </x:c>
      <x:c r="J459" s="1"/>
      <x:c r="K459" s="1"/>
      <x:c r="L459" s="1" t="n">
        <x:v>20.6</x:v>
      </x:c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</x:row>
    <x:row r="460">
      <x:c r="A460" s="1" t="n">
        <x:v>17</x:v>
      </x:c>
      <x:c r="B460" s="3" t="d">
        <x:v>2023-06-20T00:00:00.000Z</x:v>
      </x:c>
      <x:c r="C460" s="1"/>
      <x:c r="D460" s="1" t="n">
        <x:v>0</x:v>
      </x:c>
      <x:c r="E460" s="1" t="n">
        <x:v>20</x:v>
      </x:c>
      <x:c r="F460" s="1" t="str">
        <x:v>17</x:v>
      </x:c>
      <x:c r="G460" s="1" t="n">
        <x:v>20.15</x:v>
      </x:c>
      <x:c r="H460" s="1" t="n">
        <x:v>0.193</x:v>
      </x:c>
      <x:c r="I460" s="1" t="n">
        <x:v>0.427</x:v>
      </x:c>
      <x:c r="J460" s="1" t="str">
        <x:v>-99</x:v>
      </x:c>
      <x:c r="K460" s="1"/>
      <x:c r="L460" s="1" t="n">
        <x:v>17.92</x:v>
      </x:c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</x:row>
    <x:row r="461">
      <x:c r="A461" s="1" t="n">
        <x:v>17</x:v>
      </x:c>
      <x:c r="B461" s="1" t="str">
        <x:v> 2023-06-20</x:v>
      </x:c>
      <x:c r="C461" s="1"/>
      <x:c r="D461" s="1" t="n">
        <x:v>20</x:v>
      </x:c>
      <x:c r="E461" s="1" t="n">
        <x:v>40</x:v>
      </x:c>
      <x:c r="F461" s="1" t="str">
        <x:v>17</x:v>
      </x:c>
      <x:c r="G461" s="1" t="n">
        <x:v>18.15</x:v>
      </x:c>
      <x:c r="H461" s="1" t="n">
        <x:v>0.203</x:v>
      </x:c>
      <x:c r="I461" s="1" t="n">
        <x:v>0.256</x:v>
      </x:c>
      <x:c r="J461" s="1"/>
      <x:c r="K461" s="1"/>
      <x:c r="L461" s="1" t="n">
        <x:v>17.32</x:v>
      </x:c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</x:row>
    <x:row r="462">
      <x:c r="A462" s="1" t="n">
        <x:v>35</x:v>
      </x:c>
      <x:c r="B462" s="1" t="str">
        <x:v>2024-5-16</x:v>
      </x:c>
      <x:c r="C462" s="1"/>
      <x:c r="D462" s="1" t="n">
        <x:v>0</x:v>
      </x:c>
      <x:c r="E462" s="1" t="n">
        <x:v>20</x:v>
      </x:c>
      <x:c r="F462" s="1" t="str">
        <x:v>35</x:v>
      </x:c>
      <x:c r="G462" s="1" t="str">
        <x:v>-99</x:v>
      </x:c>
      <x:c r="H462" s="1" t="n">
        <x:v>0.223</x:v>
      </x:c>
      <x:c r="I462" s="1"/>
      <x:c r="J462" s="1" t="n">
        <x:v>9.1</x:v>
      </x:c>
      <x:c r="K462" s="1" t="n">
        <x:v>1.44</x:v>
      </x:c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</x:row>
    <x:row r="463">
      <x:c r="A463" s="1" t="n">
        <x:v>35</x:v>
      </x:c>
      <x:c r="B463" s="1" t="str">
        <x:v>24137</x:v>
      </x:c>
      <x:c r="C463" s="1"/>
      <x:c r="D463" s="1" t="n">
        <x:v>20</x:v>
      </x:c>
      <x:c r="E463" s="1" t="n">
        <x:v>40</x:v>
      </x:c>
      <x:c r="F463" s="1" t="str">
        <x:v>35</x:v>
      </x:c>
      <x:c r="G463" s="1"/>
      <x:c r="H463" s="1" t="n">
        <x:v>0.233</x:v>
      </x:c>
      <x:c r="I463" s="1"/>
      <x:c r="J463" s="1" t="n">
        <x:v>8.6</x:v>
      </x:c>
      <x:c r="K463" s="1" t="n">
        <x:v>1.28</x:v>
      </x:c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</x:row>
    <x:row r="464">
      <x:c r="A464" s="1" t="n">
        <x:v>35</x:v>
      </x:c>
      <x:c r="B464" s="3" t="d">
        <x:v>2024-06-24T00:00:00.000Z</x:v>
      </x:c>
      <x:c r="C464" s="1"/>
      <x:c r="D464" s="1" t="n">
        <x:v>0</x:v>
      </x:c>
      <x:c r="E464" s="1" t="n">
        <x:v>20</x:v>
      </x:c>
      <x:c r="F464" s="1" t="str">
        <x:v>35</x:v>
      </x:c>
      <x:c r="G464" s="1"/>
      <x:c r="H464" s="1" t="n">
        <x:v>0.225</x:v>
      </x:c>
      <x:c r="I464" s="1"/>
      <x:c r="J464" s="1" t="n">
        <x:v>8.2</x:v>
      </x:c>
      <x:c r="K464" s="1" t="n">
        <x:v>1.35</x:v>
      </x:c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</x:row>
    <x:row r="465">
      <x:c r="A465" s="1" t="n">
        <x:v>35</x:v>
      </x:c>
      <x:c r="B465" s="1" t="str">
        <x:v> 2024-06-24</x:v>
      </x:c>
      <x:c r="C465" s="1"/>
      <x:c r="D465" s="1" t="n">
        <x:v>20</x:v>
      </x:c>
      <x:c r="E465" s="1" t="n">
        <x:v>40</x:v>
      </x:c>
      <x:c r="F465" s="1" t="str">
        <x:v>35</x:v>
      </x:c>
      <x:c r="G465" s="1"/>
      <x:c r="H465" s="1" t="n">
        <x:v>0.235</x:v>
      </x:c>
      <x:c r="I465" s="1" t="str">
        <x:v>-99</x:v>
      </x:c>
      <x:c r="J465" s="1" t="n">
        <x:v>7.7</x:v>
      </x:c>
      <x:c r="K465" s="1" t="n">
        <x:v>1.19</x:v>
      </x:c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</x:row>
    <x:row r="466">
      <x:c r="A466" s="1" t="n">
        <x:v>35</x:v>
      </x:c>
      <x:c r="B466" s="1" t="str">
        <x:v>2024-8-8</x:v>
      </x:c>
      <x:c r="C466" s="1"/>
      <x:c r="D466" s="1" t="n">
        <x:v>0</x:v>
      </x:c>
      <x:c r="E466" s="1" t="n">
        <x:v>20</x:v>
      </x:c>
      <x:c r="F466" s="1" t="str">
        <x:v>35</x:v>
      </x:c>
      <x:c r="G466" s="1" t="str">
        <x:v>-99.0</x:v>
      </x:c>
      <x:c r="H466" s="1" t="n">
        <x:v>0.196</x:v>
      </x:c>
      <x:c r="I466" s="1"/>
      <x:c r="J466" s="1" t="n">
        <x:v>7.15</x:v>
      </x:c>
      <x:c r="K466" s="1" t="n">
        <x:v>1.25</x:v>
      </x:c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</x:row>
    <x:row r="467">
      <x:c r="A467" s="1" t="n">
        <x:v>35</x:v>
      </x:c>
      <x:c r="B467" s="1" t="str">
        <x:v>24221</x:v>
      </x:c>
      <x:c r="C467" s="1"/>
      <x:c r="D467" s="1" t="n">
        <x:v>20</x:v>
      </x:c>
      <x:c r="E467" s="1" t="n">
        <x:v>40</x:v>
      </x:c>
      <x:c r="F467" s="1" t="str">
        <x:v>35</x:v>
      </x:c>
      <x:c r="G467" s="1"/>
      <x:c r="H467" s="1" t="n">
        <x:v>0.206</x:v>
      </x:c>
      <x:c r="I467" s="1"/>
      <x:c r="J467" s="1" t="n">
        <x:v>6.65</x:v>
      </x:c>
      <x:c r="K467" s="1" t="n">
        <x:v>1.09</x:v>
      </x:c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</x:row>
    <x:row r="468">
      <x:c r="A468" s="1" t="n">
        <x:v>53</x:v>
      </x:c>
      <x:c r="B468" s="3" t="d">
        <x:v>2025-06-03T00:00:00.000Z</x:v>
      </x:c>
      <x:c r="C468" s="1"/>
      <x:c r="D468" s="1" t="n">
        <x:v>0</x:v>
      </x:c>
      <x:c r="E468" s="1" t="n">
        <x:v>20</x:v>
      </x:c>
      <x:c r="F468" s="1" t="str">
        <x:v>53</x:v>
      </x:c>
      <x:c r="G468" s="1"/>
      <x:c r="H468" s="1" t="n">
        <x:v>0.217</x:v>
      </x:c>
      <x:c r="I468" s="1"/>
      <x:c r="J468" s="1" t="n">
        <x:v>5.6</x:v>
      </x:c>
      <x:c r="K468" s="1" t="n">
        <x:v>1.44</x:v>
      </x:c>
      <x:c r="L468" s="1" t="n">
        <x:v>18.73</x:v>
      </x:c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</x:row>
    <x:row r="469">
      <x:c r="A469" s="1" t="n">
        <x:v>53</x:v>
      </x:c>
      <x:c r="B469" s="1" t="str">
        <x:v> 2025-06-03</x:v>
      </x:c>
      <x:c r="C469" s="1"/>
      <x:c r="D469" s="1" t="n">
        <x:v>20</x:v>
      </x:c>
      <x:c r="E469" s="1" t="n">
        <x:v>40</x:v>
      </x:c>
      <x:c r="F469" s="1" t="str">
        <x:v>53</x:v>
      </x:c>
      <x:c r="G469" s="1"/>
      <x:c r="H469" s="1" t="n">
        <x:v>0.227</x:v>
      </x:c>
      <x:c r="I469" s="1"/>
      <x:c r="J469" s="1" t="n">
        <x:v>5.1</x:v>
      </x:c>
      <x:c r="K469" s="1" t="n">
        <x:v>1.28</x:v>
      </x:c>
      <x:c r="L469" s="1" t="n">
        <x:v>18.13</x:v>
      </x:c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</x:row>
    <x:row r="470">
      <x:c r="A470" s="1" t="n">
        <x:v>53</x:v>
      </x:c>
      <x:c r="B470" s="1" t="str">
        <x:v>2025-7-6</x:v>
      </x:c>
      <x:c r="C470" s="1"/>
      <x:c r="D470" s="1" t="n">
        <x:v>0</x:v>
      </x:c>
      <x:c r="E470" s="1" t="n">
        <x:v>20</x:v>
      </x:c>
      <x:c r="F470" s="1" t="str">
        <x:v>53</x:v>
      </x:c>
      <x:c r="G470" s="1"/>
      <x:c r="H470" s="1" t="n">
        <x:v>0.219</x:v>
      </x:c>
      <x:c r="I470" s="1"/>
      <x:c r="J470" s="1" t="n">
        <x:v>4.7</x:v>
      </x:c>
      <x:c r="K470" s="1" t="n">
        <x:v>1.35</x:v>
      </x:c>
      <x:c r="L470" s="1" t="n">
        <x:v>21.2</x:v>
      </x:c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</x:row>
    <x:row r="471">
      <x:c r="A471" s="1" t="n">
        <x:v>53</x:v>
      </x:c>
      <x:c r="B471" s="1" t="str">
        <x:v>25187</x:v>
      </x:c>
      <x:c r="C471" s="1"/>
      <x:c r="D471" s="1" t="n">
        <x:v>20</x:v>
      </x:c>
      <x:c r="E471" s="1" t="n">
        <x:v>40</x:v>
      </x:c>
      <x:c r="F471" s="1" t="str">
        <x:v>53</x:v>
      </x:c>
      <x:c r="G471" s="1"/>
      <x:c r="H471" s="1" t="n">
        <x:v>0.229</x:v>
      </x:c>
      <x:c r="I471" s="1"/>
      <x:c r="J471" s="1" t="n">
        <x:v>4.2</x:v>
      </x:c>
      <x:c r="K471" s="1" t="n">
        <x:v>1.19</x:v>
      </x:c>
      <x:c r="L471" s="1" t="n">
        <x:v>20.6</x:v>
      </x:c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</x:row>
    <x:row r="472">
      <x:c r="A472" s="1" t="n">
        <x:v>53</x:v>
      </x:c>
      <x:c r="B472" s="3" t="d">
        <x:v>2025-08-14T00:00:00.000Z</x:v>
      </x:c>
      <x:c r="C472" s="1"/>
      <x:c r="D472" s="1" t="n">
        <x:v>0</x:v>
      </x:c>
      <x:c r="E472" s="1" t="n">
        <x:v>20</x:v>
      </x:c>
      <x:c r="F472" s="1" t="str">
        <x:v>53</x:v>
      </x:c>
      <x:c r="G472" s="1" t="str">
        <x:v>-99</x:v>
      </x:c>
      <x:c r="H472" s="1" t="n">
        <x:v>0.19</x:v>
      </x:c>
      <x:c r="I472" s="1"/>
      <x:c r="J472" s="1" t="n">
        <x:v>3.65</x:v>
      </x:c>
      <x:c r="K472" s="1" t="n">
        <x:v>1.25</x:v>
      </x:c>
      <x:c r="L472" s="1" t="n">
        <x:v>17.92</x:v>
      </x:c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</x:row>
    <x:row r="473">
      <x:c r="A473" s="1" t="n">
        <x:v>53</x:v>
      </x:c>
      <x:c r="B473" s="1" t="str">
        <x:v> 2025-08-14</x:v>
      </x:c>
      <x:c r="C473" s="1"/>
      <x:c r="D473" s="1" t="n">
        <x:v>20</x:v>
      </x:c>
      <x:c r="E473" s="1" t="n">
        <x:v>40</x:v>
      </x:c>
      <x:c r="F473" s="1" t="str">
        <x:v>53</x:v>
      </x:c>
      <x:c r="G473" s="1" t="str">
        <x:v>-99.0</x:v>
      </x:c>
      <x:c r="H473" s="1" t="n">
        <x:v>0.2</x:v>
      </x:c>
      <x:c r="I473" s="1"/>
      <x:c r="J473" s="1" t="n">
        <x:v>3.15</x:v>
      </x:c>
      <x:c r="K473" s="1" t="n">
        <x:v>1.09</x:v>
      </x:c>
      <x:c r="L473" s="1" t="n">
        <x:v>17.32</x:v>
      </x:c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</x:row>
    <x:row r="474">
      <x:c r="A474" s="1" t="n">
        <x:v>71</x:v>
      </x:c>
      <x:c r="B474" s="1" t="str">
        <x:v>2026-4-12</x:v>
      </x:c>
      <x:c r="C474" s="1"/>
      <x:c r="D474" s="1" t="n">
        <x:v>0</x:v>
      </x:c>
      <x:c r="E474" s="1" t="n">
        <x:v>20</x:v>
      </x:c>
      <x:c r="F474" s="1" t="str">
        <x:v>71</x:v>
      </x:c>
      <x:c r="G474" s="1"/>
      <x:c r="H474" s="1" t="n">
        <x:v>0.22</x:v>
      </x:c>
      <x:c r="I474" s="1" t="n">
        <x:v>0.553</x:v>
      </x:c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</x:row>
    <x:row r="475">
      <x:c r="A475" s="1" t="n">
        <x:v>71</x:v>
      </x:c>
      <x:c r="B475" s="1" t="str">
        <x:v>26102</x:v>
      </x:c>
      <x:c r="C475" s="1"/>
      <x:c r="D475" s="1" t="n">
        <x:v>20</x:v>
      </x:c>
      <x:c r="E475" s="1" t="n">
        <x:v>40</x:v>
      </x:c>
      <x:c r="F475" s="1" t="str">
        <x:v>71</x:v>
      </x:c>
      <x:c r="G475" s="1"/>
      <x:c r="H475" s="1" t="n">
        <x:v>0.23</x:v>
      </x:c>
      <x:c r="I475" s="1" t="n">
        <x:v>0.332</x:v>
      </x:c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</x:row>
    <x:row r="476">
      <x:c r="A476" s="1" t="n">
        <x:v>71</x:v>
      </x:c>
      <x:c r="B476" s="3" t="d">
        <x:v>2026-05-19T00:00:00.000Z</x:v>
      </x:c>
      <x:c r="C476" s="1"/>
      <x:c r="D476" s="1" t="n">
        <x:v>0</x:v>
      </x:c>
      <x:c r="E476" s="1" t="n">
        <x:v>20</x:v>
      </x:c>
      <x:c r="F476" s="1" t="str">
        <x:v>71</x:v>
      </x:c>
      <x:c r="G476" s="1" t="str">
        <x:v>-99</x:v>
      </x:c>
      <x:c r="H476" s="1" t="n">
        <x:v>0.222</x:v>
      </x:c>
      <x:c r="I476" s="1" t="n">
        <x:v>0.94</x:v>
      </x:c>
      <x:c r="J476" s="1" t="str">
        <x:v>-99</x:v>
      </x:c>
      <x:c r="K476" s="1"/>
      <x:c r="L476" s="1" t="str">
        <x:v>-99.0</x:v>
      </x:c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</x:row>
    <x:row r="477">
      <x:c r="A477" s="1" t="n">
        <x:v>71</x:v>
      </x:c>
      <x:c r="B477" s="1" t="str">
        <x:v> 2026-05-19</x:v>
      </x:c>
      <x:c r="C477" s="1"/>
      <x:c r="D477" s="1" t="n">
        <x:v>20</x:v>
      </x:c>
      <x:c r="E477" s="1" t="n">
        <x:v>40</x:v>
      </x:c>
      <x:c r="F477" s="1" t="str">
        <x:v>71</x:v>
      </x:c>
      <x:c r="G477" s="1"/>
      <x:c r="H477" s="1" t="n">
        <x:v>0.232</x:v>
      </x:c>
      <x:c r="I477" s="1" t="n">
        <x:v>0.564</x:v>
      </x:c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</x:row>
    <x:row r="478">
      <x:c r="A478" s="1" t="n">
        <x:v>71</x:v>
      </x:c>
      <x:c r="B478" s="1" t="str">
        <x:v>2026-7-2</x:v>
      </x:c>
      <x:c r="C478" s="1"/>
      <x:c r="D478" s="1" t="n">
        <x:v>0</x:v>
      </x:c>
      <x:c r="E478" s="1" t="n">
        <x:v>20</x:v>
      </x:c>
      <x:c r="F478" s="1" t="str">
        <x:v>71</x:v>
      </x:c>
      <x:c r="G478" s="1"/>
      <x:c r="H478" s="1" t="n">
        <x:v>0.193</x:v>
      </x:c>
      <x:c r="I478" s="1" t="n">
        <x:v>0.427</x:v>
      </x:c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</x:row>
    <x:row r="479">
      <x:c r="A479" s="1" t="n">
        <x:v>71</x:v>
      </x:c>
      <x:c r="B479" s="1" t="str">
        <x:v>26183</x:v>
      </x:c>
      <x:c r="C479" s="1"/>
      <x:c r="D479" s="1" t="n">
        <x:v>20</x:v>
      </x:c>
      <x:c r="E479" s="1" t="n">
        <x:v>40</x:v>
      </x:c>
      <x:c r="F479" s="1" t="str">
        <x:v>71</x:v>
      </x:c>
      <x:c r="G479" s="1"/>
      <x:c r="H479" s="1" t="n">
        <x:v>0.203</x:v>
      </x:c>
      <x:c r="I479" s="1" t="n">
        <x:v>0.256</x:v>
      </x:c>
      <x:c r="J479" s="1" t="str">
        <x:v>-99</x:v>
      </x:c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</x:row>
    <x:row r="480">
      <x:c r="A480" s="1" t="n">
        <x:v>23</x:v>
      </x:c>
      <x:c r="B480" s="3" t="d">
        <x:v>2023-04-03T00:00:00.000Z</x:v>
      </x:c>
      <x:c r="C480" s="1"/>
      <x:c r="D480" s="1" t="n">
        <x:v>0</x:v>
      </x:c>
      <x:c r="E480" s="1" t="n">
        <x:v>20</x:v>
      </x:c>
      <x:c r="F480" s="1" t="str">
        <x:v>23</x:v>
      </x:c>
      <x:c r="G480" s="1" t="n">
        <x:v>20.8</x:v>
      </x:c>
      <x:c r="H480" s="1" t="n">
        <x:v>0.223</x:v>
      </x:c>
      <x:c r="I480" s="1"/>
      <x:c r="J480" s="1" t="n">
        <x:v>7</x:v>
      </x:c>
      <x:c r="K480" s="1" t="n">
        <x:v>1.44</x:v>
      </x:c>
      <x:c r="L480" s="1" t="n">
        <x:v>18.73</x:v>
      </x:c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</x:row>
    <x:row r="481">
      <x:c r="A481" s="1" t="n">
        <x:v>23</x:v>
      </x:c>
      <x:c r="B481" s="1" t="str">
        <x:v> 2023-04-03</x:v>
      </x:c>
      <x:c r="C481" s="1"/>
      <x:c r="D481" s="1" t="n">
        <x:v>20</x:v>
      </x:c>
      <x:c r="E481" s="1" t="n">
        <x:v>40</x:v>
      </x:c>
      <x:c r="F481" s="1" t="str">
        <x:v>23</x:v>
      </x:c>
      <x:c r="G481" s="1" t="n">
        <x:v>18.8</x:v>
      </x:c>
      <x:c r="H481" s="1" t="n">
        <x:v>0.233</x:v>
      </x:c>
      <x:c r="I481" s="1"/>
      <x:c r="J481" s="1" t="n">
        <x:v>6.5</x:v>
      </x:c>
      <x:c r="K481" s="1" t="n">
        <x:v>1.28</x:v>
      </x:c>
      <x:c r="L481" s="1" t="n">
        <x:v>18.13</x:v>
      </x:c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</x:row>
    <x:row r="482">
      <x:c r="A482" s="1" t="n">
        <x:v>23</x:v>
      </x:c>
      <x:c r="B482" s="1" t="str">
        <x:v>2023-5-9</x:v>
      </x:c>
      <x:c r="C482" s="1"/>
      <x:c r="D482" s="1" t="n">
        <x:v>0</x:v>
      </x:c>
      <x:c r="E482" s="1" t="n">
        <x:v>20</x:v>
      </x:c>
      <x:c r="F482" s="1" t="str">
        <x:v>23</x:v>
      </x:c>
      <x:c r="G482" s="1" t="n">
        <x:v>20.5</x:v>
      </x:c>
      <x:c r="H482" s="1" t="n">
        <x:v>0.225</x:v>
      </x:c>
      <x:c r="I482" s="1"/>
      <x:c r="J482" s="1" t="n">
        <x:v>6.1</x:v>
      </x:c>
      <x:c r="K482" s="1" t="n">
        <x:v>1.35</x:v>
      </x:c>
      <x:c r="L482" s="1" t="n">
        <x:v>21.2</x:v>
      </x:c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</x:row>
    <x:row r="483">
      <x:c r="A483" s="1" t="n">
        <x:v>23</x:v>
      </x:c>
      <x:c r="B483" s="1" t="str">
        <x:v>23129</x:v>
      </x:c>
      <x:c r="C483" s="1"/>
      <x:c r="D483" s="1" t="n">
        <x:v>20</x:v>
      </x:c>
      <x:c r="E483" s="1" t="n">
        <x:v>40</x:v>
      </x:c>
      <x:c r="F483" s="1" t="str">
        <x:v>23</x:v>
      </x:c>
      <x:c r="G483" s="1" t="n">
        <x:v>18.5</x:v>
      </x:c>
      <x:c r="H483" s="1" t="n">
        <x:v>0.235</x:v>
      </x:c>
      <x:c r="I483" s="1"/>
      <x:c r="J483" s="1" t="n">
        <x:v>5.6</x:v>
      </x:c>
      <x:c r="K483" s="1" t="n">
        <x:v>1.19</x:v>
      </x:c>
      <x:c r="L483" s="1" t="n">
        <x:v>20.6</x:v>
      </x:c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</x:row>
    <x:row r="484">
      <x:c r="A484" s="1" t="n">
        <x:v>23</x:v>
      </x:c>
      <x:c r="B484" s="3" t="d">
        <x:v>2023-06-20T00:00:00.000Z</x:v>
      </x:c>
      <x:c r="C484" s="1"/>
      <x:c r="D484" s="1" t="n">
        <x:v>0</x:v>
      </x:c>
      <x:c r="E484" s="1" t="n">
        <x:v>20</x:v>
      </x:c>
      <x:c r="F484" s="1" t="str">
        <x:v>23</x:v>
      </x:c>
      <x:c r="G484" s="1" t="n">
        <x:v>20.15</x:v>
      </x:c>
      <x:c r="H484" s="1" t="n">
        <x:v>0.196</x:v>
      </x:c>
      <x:c r="I484" s="1"/>
      <x:c r="J484" s="1" t="n">
        <x:v>5.05</x:v>
      </x:c>
      <x:c r="K484" s="1" t="n">
        <x:v>1.25</x:v>
      </x:c>
      <x:c r="L484" s="1" t="n">
        <x:v>17.92</x:v>
      </x:c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</x:row>
    <x:row r="485">
      <x:c r="A485" s="1" t="n">
        <x:v>23</x:v>
      </x:c>
      <x:c r="B485" s="1" t="str">
        <x:v> 2023-06-20</x:v>
      </x:c>
      <x:c r="C485" s="1"/>
      <x:c r="D485" s="1" t="n">
        <x:v>20</x:v>
      </x:c>
      <x:c r="E485" s="1" t="n">
        <x:v>40</x:v>
      </x:c>
      <x:c r="F485" s="1" t="str">
        <x:v>23</x:v>
      </x:c>
      <x:c r="G485" s="1" t="n">
        <x:v>18.15</x:v>
      </x:c>
      <x:c r="H485" s="1" t="n">
        <x:v>0.206</x:v>
      </x:c>
      <x:c r="I485" s="1"/>
      <x:c r="J485" s="1" t="n">
        <x:v>4.55</x:v>
      </x:c>
      <x:c r="K485" s="1" t="n">
        <x:v>1.09</x:v>
      </x:c>
      <x:c r="L485" s="1" t="n">
        <x:v>17.32</x:v>
      </x:c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</x:row>
    <x:row r="486">
      <x:c r="A486" s="1" t="n">
        <x:v>41</x:v>
      </x:c>
      <x:c r="B486" s="1" t="str">
        <x:v>2024-5-16</x:v>
      </x:c>
      <x:c r="C486" s="1"/>
      <x:c r="D486" s="1" t="n">
        <x:v>0</x:v>
      </x:c>
      <x:c r="E486" s="1" t="n">
        <x:v>20</x:v>
      </x:c>
      <x:c r="F486" s="1" t="str">
        <x:v>41</x:v>
      </x:c>
      <x:c r="G486" s="1"/>
      <x:c r="H486" s="1" t="n">
        <x:v>0.217</x:v>
      </x:c>
      <x:c r="I486" s="1"/>
      <x:c r="J486" s="1" t="n">
        <x:v>7.7</x:v>
      </x:c>
      <x:c r="K486" s="1" t="n">
        <x:v>1.44</x:v>
      </x:c>
      <x:c r="L486" s="1" t="str">
        <x:v>-99</x:v>
      </x:c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</x:row>
    <x:row r="487">
      <x:c r="A487" s="1" t="n">
        <x:v>41</x:v>
      </x:c>
      <x:c r="B487" s="1" t="str">
        <x:v>24137</x:v>
      </x:c>
      <x:c r="C487" s="1"/>
      <x:c r="D487" s="1" t="n">
        <x:v>20</x:v>
      </x:c>
      <x:c r="E487" s="1" t="n">
        <x:v>40</x:v>
      </x:c>
      <x:c r="F487" s="1" t="str">
        <x:v>41</x:v>
      </x:c>
      <x:c r="G487" s="1"/>
      <x:c r="H487" s="1" t="n">
        <x:v>0.227</x:v>
      </x:c>
      <x:c r="I487" s="1"/>
      <x:c r="J487" s="1" t="n">
        <x:v>7.2</x:v>
      </x:c>
      <x:c r="K487" s="1" t="n">
        <x:v>1.28</x:v>
      </x:c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</x:row>
    <x:row r="488">
      <x:c r="A488" s="1" t="n">
        <x:v>41</x:v>
      </x:c>
      <x:c r="B488" s="3" t="d">
        <x:v>2024-06-24T00:00:00.000Z</x:v>
      </x:c>
      <x:c r="C488" s="1"/>
      <x:c r="D488" s="1" t="n">
        <x:v>0</x:v>
      </x:c>
      <x:c r="E488" s="1" t="n">
        <x:v>20</x:v>
      </x:c>
      <x:c r="F488" s="1" t="str">
        <x:v>41</x:v>
      </x:c>
      <x:c r="G488" s="1"/>
      <x:c r="H488" s="1" t="n">
        <x:v>0.219</x:v>
      </x:c>
      <x:c r="I488" s="1"/>
      <x:c r="J488" s="1" t="n">
        <x:v>6.8</x:v>
      </x:c>
      <x:c r="K488" s="1" t="n">
        <x:v>1.35</x:v>
      </x:c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</x:row>
    <x:row r="489">
      <x:c r="A489" s="1" t="n">
        <x:v>41</x:v>
      </x:c>
      <x:c r="B489" s="1" t="str">
        <x:v> 2024-06-24</x:v>
      </x:c>
      <x:c r="C489" s="1"/>
      <x:c r="D489" s="1" t="n">
        <x:v>20</x:v>
      </x:c>
      <x:c r="E489" s="1" t="n">
        <x:v>40</x:v>
      </x:c>
      <x:c r="F489" s="1" t="str">
        <x:v>41</x:v>
      </x:c>
      <x:c r="G489" s="1"/>
      <x:c r="H489" s="1" t="n">
        <x:v>0.229</x:v>
      </x:c>
      <x:c r="I489" s="1"/>
      <x:c r="J489" s="1" t="n">
        <x:v>6.3</x:v>
      </x:c>
      <x:c r="K489" s="1" t="n">
        <x:v>1.19</x:v>
      </x:c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</x:row>
    <x:row r="490">
      <x:c r="A490" s="1" t="n">
        <x:v>41</x:v>
      </x:c>
      <x:c r="B490" s="1" t="str">
        <x:v>2024-8-8</x:v>
      </x:c>
      <x:c r="C490" s="1"/>
      <x:c r="D490" s="1" t="n">
        <x:v>0</x:v>
      </x:c>
      <x:c r="E490" s="1" t="n">
        <x:v>20</x:v>
      </x:c>
      <x:c r="F490" s="1" t="str">
        <x:v>41</x:v>
      </x:c>
      <x:c r="G490" s="1"/>
      <x:c r="H490" s="1" t="n">
        <x:v>0.19</x:v>
      </x:c>
      <x:c r="I490" s="1"/>
      <x:c r="J490" s="1" t="n">
        <x:v>5.75</x:v>
      </x:c>
      <x:c r="K490" s="1" t="n">
        <x:v>1.25</x:v>
      </x:c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</x:row>
    <x:row r="491">
      <x:c r="A491" s="1" t="n">
        <x:v>41</x:v>
      </x:c>
      <x:c r="B491" s="1" t="str">
        <x:v>24221</x:v>
      </x:c>
      <x:c r="C491" s="1"/>
      <x:c r="D491" s="1" t="n">
        <x:v>20</x:v>
      </x:c>
      <x:c r="E491" s="1" t="n">
        <x:v>40</x:v>
      </x:c>
      <x:c r="F491" s="1" t="str">
        <x:v>41</x:v>
      </x:c>
      <x:c r="G491" s="1"/>
      <x:c r="H491" s="1" t="n">
        <x:v>0.2</x:v>
      </x:c>
      <x:c r="I491" s="1" t="str">
        <x:v>-99</x:v>
      </x:c>
      <x:c r="J491" s="1" t="n">
        <x:v>5.25</x:v>
      </x:c>
      <x:c r="K491" s="1" t="n">
        <x:v>1.09</x:v>
      </x:c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</x:row>
    <x:row r="492">
      <x:c r="A492" s="1" t="n">
        <x:v>59</x:v>
      </x:c>
      <x:c r="B492" s="3" t="d">
        <x:v>2025-06-03T00:00:00.000Z</x:v>
      </x:c>
      <x:c r="C492" s="1"/>
      <x:c r="D492" s="1" t="n">
        <x:v>0</x:v>
      </x:c>
      <x:c r="E492" s="1" t="n">
        <x:v>20</x:v>
      </x:c>
      <x:c r="F492" s="1" t="str">
        <x:v>59</x:v>
      </x:c>
      <x:c r="G492" s="1"/>
      <x:c r="H492" s="1" t="n">
        <x:v>0.22</x:v>
      </x:c>
      <x:c r="I492" s="1" t="n">
        <x:v>0.553</x:v>
      </x:c>
      <x:c r="J492" s="1"/>
      <x:c r="K492" s="1" t="str">
        <x:v>-99</x:v>
      </x:c>
      <x:c r="L492" s="1" t="n">
        <x:v>18.73</x:v>
      </x:c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</x:row>
    <x:row r="493">
      <x:c r="A493" s="1" t="n">
        <x:v>59</x:v>
      </x:c>
      <x:c r="B493" s="1" t="str">
        <x:v> 2025-06-03</x:v>
      </x:c>
      <x:c r="C493" s="1"/>
      <x:c r="D493" s="1" t="n">
        <x:v>20</x:v>
      </x:c>
      <x:c r="E493" s="1" t="n">
        <x:v>40</x:v>
      </x:c>
      <x:c r="F493" s="1" t="str">
        <x:v>59</x:v>
      </x:c>
      <x:c r="G493" s="1"/>
      <x:c r="H493" s="1" t="n">
        <x:v>0.23</x:v>
      </x:c>
      <x:c r="I493" s="1" t="n">
        <x:v>0.332</x:v>
      </x:c>
      <x:c r="J493" s="1"/>
      <x:c r="K493" s="1"/>
      <x:c r="L493" s="1" t="n">
        <x:v>18.13</x:v>
      </x:c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</x:row>
    <x:row r="494">
      <x:c r="A494" s="1" t="n">
        <x:v>59</x:v>
      </x:c>
      <x:c r="B494" s="1" t="str">
        <x:v>2025-7-6</x:v>
      </x:c>
      <x:c r="C494" s="1"/>
      <x:c r="D494" s="1" t="n">
        <x:v>0</x:v>
      </x:c>
      <x:c r="E494" s="1" t="n">
        <x:v>20</x:v>
      </x:c>
      <x:c r="F494" s="1" t="str">
        <x:v>59</x:v>
      </x:c>
      <x:c r="G494" s="1"/>
      <x:c r="H494" s="1" t="n">
        <x:v>0.222</x:v>
      </x:c>
      <x:c r="I494" s="1" t="n">
        <x:v>0.94</x:v>
      </x:c>
      <x:c r="J494" s="1"/>
      <x:c r="K494" s="1"/>
      <x:c r="L494" s="1" t="n">
        <x:v>21.2</x:v>
      </x:c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</x:row>
    <x:row r="495">
      <x:c r="A495" s="1" t="n">
        <x:v>59</x:v>
      </x:c>
      <x:c r="B495" s="1" t="str">
        <x:v>25187</x:v>
      </x:c>
      <x:c r="C495" s="1"/>
      <x:c r="D495" s="1" t="n">
        <x:v>20</x:v>
      </x:c>
      <x:c r="E495" s="1" t="n">
        <x:v>40</x:v>
      </x:c>
      <x:c r="F495" s="1" t="str">
        <x:v>59</x:v>
      </x:c>
      <x:c r="G495" s="1"/>
      <x:c r="H495" s="1" t="n">
        <x:v>0.232</x:v>
      </x:c>
      <x:c r="I495" s="1" t="n">
        <x:v>0.564</x:v>
      </x:c>
      <x:c r="J495" s="1"/>
      <x:c r="K495" s="1"/>
      <x:c r="L495" s="1" t="n">
        <x:v>20.6</x:v>
      </x:c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</x:row>
    <x:row r="496">
      <x:c r="A496" s="1" t="n">
        <x:v>59</x:v>
      </x:c>
      <x:c r="B496" s="3" t="d">
        <x:v>2025-08-14T00:00:00.000Z</x:v>
      </x:c>
      <x:c r="C496" s="1"/>
      <x:c r="D496" s="1" t="n">
        <x:v>0</x:v>
      </x:c>
      <x:c r="E496" s="1" t="n">
        <x:v>20</x:v>
      </x:c>
      <x:c r="F496" s="1" t="str">
        <x:v>59</x:v>
      </x:c>
      <x:c r="G496" s="1"/>
      <x:c r="H496" s="1" t="n">
        <x:v>0.193</x:v>
      </x:c>
      <x:c r="I496" s="1" t="n">
        <x:v>0.427</x:v>
      </x:c>
      <x:c r="J496" s="1"/>
      <x:c r="K496" s="1"/>
      <x:c r="L496" s="1" t="n">
        <x:v>17.92</x:v>
      </x:c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</x:row>
    <x:row r="497">
      <x:c r="A497" s="1" t="n">
        <x:v>59</x:v>
      </x:c>
      <x:c r="B497" s="1" t="str">
        <x:v> 2025-08-14</x:v>
      </x:c>
      <x:c r="C497" s="1"/>
      <x:c r="D497" s="1" t="n">
        <x:v>20</x:v>
      </x:c>
      <x:c r="E497" s="1" t="n">
        <x:v>40</x:v>
      </x:c>
      <x:c r="F497" s="1" t="str">
        <x:v>59</x:v>
      </x:c>
      <x:c r="G497" s="1"/>
      <x:c r="H497" s="1" t="n">
        <x:v>0.203</x:v>
      </x:c>
      <x:c r="I497" s="1" t="n">
        <x:v>0.256</x:v>
      </x:c>
      <x:c r="J497" s="1"/>
      <x:c r="K497" s="1"/>
      <x:c r="L497" s="1" t="n">
        <x:v>17.32</x:v>
      </x:c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</x:row>
    <x:row r="498">
      <x:c r="A498" s="1" t="n">
        <x:v>77</x:v>
      </x:c>
      <x:c r="B498" s="1" t="str">
        <x:v>2026-4-12</x:v>
      </x:c>
      <x:c r="C498" s="1"/>
      <x:c r="D498" s="1" t="n">
        <x:v>0</x:v>
      </x:c>
      <x:c r="E498" s="1" t="n">
        <x:v>20</x:v>
      </x:c>
      <x:c r="F498" s="1" t="str">
        <x:v>77</x:v>
      </x:c>
      <x:c r="G498" s="1"/>
      <x:c r="H498" s="1" t="n">
        <x:v>0.223</x:v>
      </x:c>
      <x:c r="I498" s="1"/>
      <x:c r="J498" s="1" t="n">
        <x:v>9.1</x:v>
      </x:c>
      <x:c r="K498" s="1" t="n">
        <x:v>1.44</x:v>
      </x:c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</x:row>
    <x:row r="499">
      <x:c r="A499" s="1" t="n">
        <x:v>77</x:v>
      </x:c>
      <x:c r="B499" s="1" t="str">
        <x:v>26102</x:v>
      </x:c>
      <x:c r="C499" s="1"/>
      <x:c r="D499" s="1" t="n">
        <x:v>20</x:v>
      </x:c>
      <x:c r="E499" s="1" t="n">
        <x:v>40</x:v>
      </x:c>
      <x:c r="F499" s="1" t="str">
        <x:v>77</x:v>
      </x:c>
      <x:c r="G499" s="1"/>
      <x:c r="H499" s="1" t="n">
        <x:v>0.233</x:v>
      </x:c>
      <x:c r="I499" s="1"/>
      <x:c r="J499" s="1" t="n">
        <x:v>8.6</x:v>
      </x:c>
      <x:c r="K499" s="1" t="n">
        <x:v>1.28</x:v>
      </x:c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</x:row>
    <x:row r="500">
      <x:c r="A500" s="1" t="n">
        <x:v>77</x:v>
      </x:c>
      <x:c r="B500" s="3" t="d">
        <x:v>2026-05-19T00:00:00.000Z</x:v>
      </x:c>
      <x:c r="C500" s="1"/>
      <x:c r="D500" s="1" t="n">
        <x:v>0</x:v>
      </x:c>
      <x:c r="E500" s="1" t="n">
        <x:v>20</x:v>
      </x:c>
      <x:c r="F500" s="1" t="str">
        <x:v>77</x:v>
      </x:c>
      <x:c r="G500" s="1"/>
      <x:c r="H500" s="1" t="n">
        <x:v>0.225</x:v>
      </x:c>
      <x:c r="I500" s="1"/>
      <x:c r="J500" s="1"/>
      <x:c r="K500" s="1" t="n">
        <x:v>8.2</x:v>
      </x:c>
      <x:c r="L500" s="1" t="n">
        <x:v>1.35</x:v>
      </x:c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</x:row>
    <x:row r="501">
      <x:c r="A501" s="1" t="n">
        <x:v>77</x:v>
      </x:c>
      <x:c r="B501" s="1" t="str">
        <x:v> 2026-05-19</x:v>
      </x:c>
      <x:c r="C501" s="1"/>
      <x:c r="D501" s="1" t="n">
        <x:v>20</x:v>
      </x:c>
      <x:c r="E501" s="1" t="n">
        <x:v>40</x:v>
      </x:c>
      <x:c r="F501" s="1" t="str">
        <x:v>77</x:v>
      </x:c>
      <x:c r="G501" s="1"/>
      <x:c r="H501" s="1" t="n">
        <x:v>0.235</x:v>
      </x:c>
      <x:c r="I501" s="1"/>
      <x:c r="J501" s="1"/>
      <x:c r="K501" s="1" t="n">
        <x:v>7.7</x:v>
      </x:c>
      <x:c r="L501" s="1" t="n">
        <x:v>1.19</x:v>
      </x:c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</x:row>
    <x:row r="502">
      <x:c r="A502" s="1" t="n">
        <x:v>77</x:v>
      </x:c>
      <x:c r="B502" s="1" t="str">
        <x:v>2026-7-2</x:v>
      </x:c>
      <x:c r="C502" s="1"/>
      <x:c r="D502" s="1" t="n">
        <x:v>0</x:v>
      </x:c>
      <x:c r="E502" s="1" t="n">
        <x:v>20</x:v>
      </x:c>
      <x:c r="F502" s="1" t="str">
        <x:v>77</x:v>
      </x:c>
      <x:c r="G502" s="1"/>
      <x:c r="H502" s="1" t="n">
        <x:v>0.196</x:v>
      </x:c>
      <x:c r="I502" s="1"/>
      <x:c r="J502" s="1" t="n">
        <x:v>7.15</x:v>
      </x:c>
      <x:c r="K502" s="1" t="n">
        <x:v>1.25</x:v>
      </x:c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</x:row>
    <x:row r="503">
      <x:c r="A503" s="1" t="n">
        <x:v>77</x:v>
      </x:c>
      <x:c r="B503" s="1" t="str">
        <x:v>26183</x:v>
      </x:c>
      <x:c r="C503" s="1"/>
      <x:c r="D503" s="1" t="n">
        <x:v>20</x:v>
      </x:c>
      <x:c r="E503" s="1" t="n">
        <x:v>40</x:v>
      </x:c>
      <x:c r="F503" s="1" t="str">
        <x:v>77</x:v>
      </x:c>
      <x:c r="G503" s="1"/>
      <x:c r="H503" s="1" t="n">
        <x:v>0.206</x:v>
      </x:c>
      <x:c r="I503" s="1"/>
      <x:c r="J503" s="1" t="n">
        <x:v>6.65</x:v>
      </x:c>
      <x:c r="K503" s="1" t="n">
        <x:v>1.09</x:v>
      </x:c>
      <x:c r="L503" s="1" t="str">
        <x:v>-99.0</x:v>
      </x:c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</x:row>
    <x:row r="505">
      <x:c r="A505" s="1" t="str">
        <x:v>! Section</x:v>
      </x:c>
      <x:c r="B505" s="1" t="str">
        <x:v>Tillage_event</x:v>
      </x:c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</x:row>
    <x:row r="506">
      <x:c r="A506" s="1" t="str">
        <x:v>! Definitions</x:v>
      </x:c>
      <x:c r="B506" s="1" t="str">
        <x:v>Tillage operations depth</x:v>
      </x:c>
      <x:c r="C506" s="1"/>
      <x:c r="D506" s="1" t="str">
        <x:v>Tillage type</x:v>
      </x:c>
      <x:c r="E506" s="1" t="str">
        <x:v>Tillage operations order within a single day</x:v>
      </x:c>
      <x:c r="F506" s="1" t="str">
        <x:v>Identifier of the tillage treatment associated with the event</x:v>
      </x:c>
      <x:c r="G506" s="1" t="str">
        <x:v>Tillage date; use YYYY-MM-DD.</x:v>
      </x:c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</x:row>
    <x:row r="507">
      <x:c r="A507" s="1" t="str">
        <x:v>! Units</x:v>
      </x:c>
      <x:c r="B507" s="1" t="str">
        <x:v>cm</x:v>
      </x:c>
      <x:c r="C507" s="1"/>
      <x:c r="D507" s="1" t="str">
        <x:v>code</x:v>
      </x:c>
      <x:c r="E507" s="1" t="str">
        <x:v>number</x:v>
      </x:c>
      <x:c r="F507" s="1" t="str">
        <x:v>text</x:v>
      </x:c>
      <x:c r="G507" s="1" t="str">
        <x:v>date</x:v>
      </x:c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</x:row>
    <x:row r="508">
      <x:c r="A508" s="2" t="str">
        <x:v>%</x:v>
      </x:c>
      <x:c r="B508" s="2" t="str">
        <x:v> TIDEP </x:v>
      </x:c>
      <x:c r="C508" s="2"/>
      <x:c r="D508" s="2" t="str">
        <x:v>TI_PRACTICE</x:v>
      </x:c>
      <x:c r="E508" s="2" t="str">
        <x:v>tiord</x:v>
      </x:c>
      <x:c r="F508" s="2" t="str">
        <x:v>TILTR_TE</x:v>
      </x:c>
      <x:c r="G508" s="2" t="str">
        <x:v>TDATE</x:v>
      </x:c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</x:row>
    <x:row r="509">
      <x:c r="A509" s="1" t="n">
        <x:v>23</x:v>
      </x:c>
      <x:c r="B509" s="1" t="n">
        <x:v>20</x:v>
      </x:c>
      <x:c r="C509" s="1"/>
      <x:c r="D509" s="1" t="str">
        <x:v>Conventional tillage</x:v>
      </x:c>
      <x:c r="E509" s="1" t="n">
        <x:v>1</x:v>
      </x:c>
      <x:c r="F509" s="1" t="str">
        <x:v>S0157</x:v>
      </x:c>
      <x:c r="G509" s="3" t="d">
        <x:v>2023-03-07T00:00:00.000Z</x:v>
      </x:c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</x:row>
    <x:row r="510">
      <x:c r="A510" s="1" t="n">
        <x:v>41</x:v>
      </x:c>
      <x:c r="B510" s="1" t="n">
        <x:v>8</x:v>
      </x:c>
      <x:c r="C510" s="1"/>
      <x:c r="D510" s="1" t="str">
        <x:v>Conservation tillage</x:v>
      </x:c>
      <x:c r="E510" s="1" t="n">
        <x:v>1</x:v>
      </x:c>
      <x:c r="F510" s="1" t="str">
        <x:v>S0158</x:v>
      </x:c>
      <x:c r="G510" s="1" t="str">
        <x:v> 2024-04-17</x:v>
      </x:c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</x:row>
    <x:row r="511">
      <x:c r="A511" s="1" t="n">
        <x:v>59</x:v>
      </x:c>
      <x:c r="B511" s="1" t="n">
        <x:v>12</x:v>
      </x:c>
      <x:c r="C511" s="1"/>
      <x:c r="D511" s="1" t="str">
        <x:v>Reduced tillage</x:v>
      </x:c>
      <x:c r="E511" s="1" t="n">
        <x:v>1</x:v>
      </x:c>
      <x:c r="F511" s="1" t="str">
        <x:v>S0159</x:v>
      </x:c>
      <x:c r="G511" s="1" t="str">
        <x:v>2025-5-9</x:v>
      </x:c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</x:row>
    <x:row r="512">
      <x:c r="A512" s="1" t="n">
        <x:v>77</x:v>
      </x:c>
      <x:c r="B512" s="1" t="n">
        <x:v>6</x:v>
      </x:c>
      <x:c r="C512" s="1"/>
      <x:c r="D512" s="1" t="str">
        <x:v>Conservation tillage</x:v>
      </x:c>
      <x:c r="E512" s="1" t="n">
        <x:v>1</x:v>
      </x:c>
      <x:c r="F512" s="1" t="str">
        <x:v>S0160</x:v>
      </x:c>
      <x:c r="G512" s="1" t="str">
        <x:v>26074</x:v>
      </x:c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</x:row>
    <x:row r="514">
      <x:c r="A514" s="1" t="str">
        <x:v>! Section</x:v>
      </x:c>
      <x:c r="B514" s="1" t="str">
        <x:v>Tillage_treatments</x:v>
      </x:c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</x:row>
    <x:row r="515">
      <x:c r="A515" s="1" t="str">
        <x:v>! Definitions</x:v>
      </x:c>
      <x:c r="B515" s="1" t="str">
        <x:v>Unique identifier for a tillage treatment</x:v>
      </x:c>
      <x:c r="C515" s="1"/>
      <x:c r="D515" s="1" t="str">
        <x:v>Total tillage operations, cumulative for season</x:v>
      </x:c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</x:row>
    <x:row r="516">
      <x:c r="A516" s="1" t="str">
        <x:v>! Units</x:v>
      </x:c>
      <x:c r="B516" s="1" t="str">
        <x:v>text</x:v>
      </x:c>
      <x:c r="C516" s="1"/>
      <x:c r="D516" s="1" t="str">
        <x:v>number</x:v>
      </x:c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</x:row>
    <x:row r="517">
      <x:c r="A517" s="2" t="str">
        <x:v>#</x:v>
      </x:c>
      <x:c r="B517" s="2" t="str">
        <x:v>TILTRTID</x:v>
      </x:c>
      <x:c r="C517" s="2"/>
      <x:c r="D517" s="2" t="str">
        <x:v>TI_#</x:v>
      </x:c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</x:row>
    <x:row r="518">
      <x:c r="A518" s="1" t="n">
        <x:v>23</x:v>
      </x:c>
      <x:c r="B518" s="1" t="str">
        <x:v>S0157</x:v>
      </x:c>
      <x:c r="C518" s="1"/>
      <x:c r="D518" s="1" t="n">
        <x:v>1</x:v>
      </x:c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</x:row>
    <x:row r="519">
      <x:c r="A519" s="1" t="n">
        <x:v>41</x:v>
      </x:c>
      <x:c r="B519" s="1" t="str">
        <x:v>S0158</x:v>
      </x:c>
      <x:c r="C519" s="1"/>
      <x:c r="D519" s="1" t="n">
        <x:v>1</x:v>
      </x:c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</x:row>
    <x:row r="520">
      <x:c r="A520" s="1" t="n">
        <x:v>59</x:v>
      </x:c>
      <x:c r="B520" s="1" t="str">
        <x:v>S0159</x:v>
      </x:c>
      <x:c r="C520" s="1"/>
      <x:c r="D520" s="1" t="n">
        <x:v>1</x:v>
      </x:c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</x:row>
    <x:row r="521">
      <x:c r="A521" s="1" t="n">
        <x:v>77</x:v>
      </x:c>
      <x:c r="B521" s="1" t="str">
        <x:v>S0160</x:v>
      </x:c>
      <x:c r="C521" s="1"/>
      <x:c r="D521" s="1" t="n">
        <x:v>1</x:v>
      </x:c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</x:row>
    <x:row r="522">
      <x:c r="A522" s="2" t="str">
        <x:v>%</x:v>
      </x:c>
      <x:c r="B522" s="2" t="str">
        <x:v>!</x:v>
      </x:c>
      <x:c r="C522" s="2" t="str">
        <x:v>!</x:v>
      </x:c>
      <x:c r="D522" s="2" t="str">
        <x:v>idate</x:v>
      </x:c>
      <x:c r="E522" s="2" t="str">
        <x:v>IRVAL</x:v>
      </x:c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</x:row>
  </x:sheetData>
  <x:pageMargins left="0.7" right="0.7" top="0.75" bottom="0.75" header="0.3" footer="0.3"/>
</x:worksheet>
</file>